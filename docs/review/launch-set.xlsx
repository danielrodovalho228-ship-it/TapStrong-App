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Launch set" sheetId="2" state="visible" r:id="rId2"/>
  </sheets>
  <definedNames>
    <definedName name="_xlnm._FilterDatabase" localSheetId="1" hidden="1">'Launch set'!$A$1:$R$244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sz val="11"/>
    </font>
    <font>
      <name val="Arial"/>
      <b val="1"/>
      <sz val="11"/>
    </font>
    <font>
      <name val="Arial"/>
      <b val="1"/>
    </font>
    <font>
      <name val="Arial"/>
    </font>
    <font>
      <name val="Arial"/>
      <b val="1"/>
      <color rgb="00FFFFFF"/>
    </font>
  </fonts>
  <fills count="4">
    <fill>
      <patternFill/>
    </fill>
    <fill>
      <patternFill patternType="gray125"/>
    </fill>
    <fill>
      <patternFill patternType="solid">
        <fgColor rgb="00FFF2CC"/>
      </patternFill>
    </fill>
    <fill>
      <patternFill patternType="solid">
        <fgColor rgb="00121212"/>
      </patternFill>
    </fill>
  </fills>
  <borders count="2">
    <border>
      <left/>
      <right/>
      <top/>
      <bottom/>
      <diagonal/>
    </border>
    <border>
      <left style="thin">
        <color rgb="00DDD8D0"/>
      </left>
      <right style="thin">
        <color rgb="00DDD8D0"/>
      </right>
      <top style="thin">
        <color rgb="00DDD8D0"/>
      </top>
      <bottom style="thin">
        <color rgb="00DDD8D0"/>
      </bottom>
    </border>
  </borders>
  <cellStyleXfs count="1">
    <xf numFmtId="0" fontId="0" fillId="0" borderId="0"/>
  </cellStyleXfs>
  <cellXfs count="10">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0" borderId="0" pivotButton="0" quotePrefix="0" xfId="0"/>
    <xf numFmtId="0" fontId="5" fillId="0" borderId="0" pivotButton="0" quotePrefix="0" xfId="0"/>
    <xf numFmtId="0" fontId="5" fillId="2" borderId="1" pivotButton="0" quotePrefix="0" xfId="0"/>
    <xf numFmtId="0" fontId="6" fillId="3" borderId="1" applyAlignment="1" pivotButton="0" quotePrefix="0" xfId="0">
      <alignment vertical="center" wrapText="1"/>
    </xf>
    <xf numFmtId="0" fontId="5" fillId="0" borderId="1" applyAlignment="1" pivotButton="0" quotePrefix="0" xfId="0">
      <alignment vertical="top" wrapText="1"/>
    </xf>
    <xf numFmtId="0" fontId="5"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TapStrong</author>
  </authors>
  <commentList>
    <comment ref="B24" authorId="0" shapeId="0">
      <text>
        <t>Stored with each certified review (name + credential).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90" customWidth="1" min="2" max="2"/>
  </cols>
  <sheetData>
    <row r="1">
      <c r="A1" s="1" t="inlineStr">
        <is>
          <t>TapStrong — launch set review</t>
        </is>
      </c>
    </row>
    <row r="2">
      <c r="A2" s="2" t="inlineStr"/>
    </row>
    <row r="3">
      <c r="A3" s="2" t="inlineStr">
        <is>
          <t>243 exercises go to the first store release. Nothing reaches users until you approve it.</t>
        </is>
      </c>
    </row>
    <row r="4">
      <c r="A4" s="2" t="inlineStr"/>
    </row>
    <row r="5">
      <c r="A5" s="3" t="inlineStr">
        <is>
          <t>For each exercise, check</t>
        </is>
      </c>
    </row>
    <row r="6">
      <c r="A6" s="2" t="inlineStr">
        <is>
          <t>1. Muscles: right muscles, right role (primary / secondary / stabilizer), sensible emphasis.</t>
        </is>
      </c>
    </row>
    <row r="7">
      <c r="A7" s="2" t="inlineStr">
        <is>
          <t>2. Safety: minimum age, positions and contraindications. Anything missing?</t>
        </is>
      </c>
    </row>
    <row r="8">
      <c r="A8" s="2" t="inlineStr">
        <is>
          <t>3. Cue: the one-line tip is correct and safe.</t>
        </is>
      </c>
    </row>
    <row r="9">
      <c r="A9" s="2" t="inlineStr">
        <is>
          <t>4. Video (when there is a link): the movement shown matches the exercise and is done safely.</t>
        </is>
      </c>
    </row>
    <row r="10">
      <c r="A10" s="2" t="inlineStr"/>
    </row>
    <row r="11">
      <c r="A11" s="3" t="inlineStr">
        <is>
          <t>How to fill it in</t>
        </is>
      </c>
    </row>
    <row r="12">
      <c r="A12" s="2" t="inlineStr">
        <is>
          <t>Only the two yellow columns on the "Launch set" tab: Decision (Approve / Adjust / Reject, from the list) and Comment. For Adjust or Reject, say why in the comment. Leave every other cell as it is.</t>
        </is>
      </c>
    </row>
    <row r="13">
      <c r="A13" s="2" t="inlineStr">
        <is>
          <t>Then write your name, credential (e.g. NSCA-CSCS, ACSM-CPT, PT license) and the date below.</t>
        </is>
      </c>
    </row>
    <row r="15">
      <c r="A15" s="4" t="inlineStr">
        <is>
          <t>Progress (updates as you fill in)</t>
        </is>
      </c>
    </row>
    <row r="16">
      <c r="A16" s="5" t="inlineStr">
        <is>
          <t>Exercises</t>
        </is>
      </c>
      <c r="B16" s="4">
        <f>COUNTA('Launch set'!$B$2:$B$244)</f>
        <v/>
      </c>
    </row>
    <row r="17">
      <c r="A17" s="5" t="inlineStr">
        <is>
          <t>Approved</t>
        </is>
      </c>
      <c r="B17" s="4">
        <f>COUNTIF('Launch set'!$Q$2:$Q$244,"Approve")</f>
        <v/>
      </c>
    </row>
    <row r="18">
      <c r="A18" s="5" t="inlineStr">
        <is>
          <t>To adjust</t>
        </is>
      </c>
      <c r="B18" s="4">
        <f>COUNTIF('Launch set'!$Q$2:$Q$244,"Adjust")</f>
        <v/>
      </c>
    </row>
    <row r="19">
      <c r="A19" s="5" t="inlineStr">
        <is>
          <t>Rejected</t>
        </is>
      </c>
      <c r="B19" s="4">
        <f>COUNTIF('Launch set'!$Q$2:$Q$244,"Reject")</f>
        <v/>
      </c>
    </row>
    <row r="20">
      <c r="A20" s="5" t="inlineStr">
        <is>
          <t>Not reviewed yet</t>
        </is>
      </c>
      <c r="B20" s="4">
        <f>B16-B17-B18-B19</f>
        <v/>
      </c>
    </row>
    <row r="22">
      <c r="A22" s="4" t="inlineStr">
        <is>
          <t>Reviewer</t>
        </is>
      </c>
    </row>
    <row r="23">
      <c r="A23" s="5" t="inlineStr">
        <is>
          <t>Name</t>
        </is>
      </c>
      <c r="B23" s="6" t="n"/>
    </row>
    <row r="24">
      <c r="A24" s="5" t="inlineStr">
        <is>
          <t>Credential</t>
        </is>
      </c>
      <c r="B24" s="6" t="n"/>
    </row>
    <row r="25">
      <c r="A25" s="5" t="inlineStr">
        <is>
          <t>Date</t>
        </is>
      </c>
      <c r="B25" s="6" t="n"/>
    </row>
  </sheetData>
  <mergeCells count="13">
    <mergeCell ref="A4:B4"/>
    <mergeCell ref="A2:B2"/>
    <mergeCell ref="A7:B7"/>
    <mergeCell ref="A11:B11"/>
    <mergeCell ref="A10:B10"/>
    <mergeCell ref="A5:B5"/>
    <mergeCell ref="A13:B13"/>
    <mergeCell ref="A1:B1"/>
    <mergeCell ref="A9:B9"/>
    <mergeCell ref="A8:B8"/>
    <mergeCell ref="A3:B3"/>
    <mergeCell ref="A6:B6"/>
    <mergeCell ref="A12:B12"/>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R24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30" customWidth="1" min="3" max="3"/>
    <col width="24" customWidth="1" min="4" max="4"/>
    <col width="16" customWidth="1" min="5" max="5"/>
    <col width="16" customWidth="1" min="6" max="6"/>
    <col width="44" customWidth="1" min="7" max="7"/>
    <col width="20" customWidth="1" min="8" max="8"/>
    <col width="14" customWidth="1" min="9" max="9"/>
    <col width="10" customWidth="1" min="10" max="10"/>
    <col width="13" customWidth="1" min="11" max="11"/>
    <col width="20" customWidth="1" min="12" max="12"/>
    <col width="32" customWidth="1" min="13" max="13"/>
    <col width="46" customWidth="1" min="14" max="14"/>
    <col width="24" customWidth="1" min="15" max="15"/>
    <col width="36" customWidth="1" min="16" max="16"/>
    <col width="18" customWidth="1" min="17" max="17"/>
    <col width="44" customWidth="1" min="18" max="18"/>
  </cols>
  <sheetData>
    <row r="1" ht="32" customHeight="1">
      <c r="A1" s="7" t="inlineStr">
        <is>
          <t>#</t>
        </is>
      </c>
      <c r="B1" s="7" t="inlineStr">
        <is>
          <t>ID (slug)</t>
        </is>
      </c>
      <c r="C1" s="7" t="inlineStr">
        <is>
          <t>Exercise</t>
        </is>
      </c>
      <c r="D1" s="7" t="inlineStr">
        <is>
          <t>Why in the launch set</t>
        </is>
      </c>
      <c r="E1" s="7" t="inlineStr">
        <is>
          <t>Video: woman</t>
        </is>
      </c>
      <c r="F1" s="7" t="inlineStr">
        <is>
          <t>Video: man</t>
        </is>
      </c>
      <c r="G1" s="7" t="inlineStr">
        <is>
          <t>Muscles (role, emphasis 0–1)</t>
        </is>
      </c>
      <c r="H1" s="7" t="inlineStr">
        <is>
          <t>Equipment</t>
        </is>
      </c>
      <c r="I1" s="7" t="inlineStr">
        <is>
          <t>Where</t>
        </is>
      </c>
      <c r="J1" s="7" t="inlineStr">
        <is>
          <t>Level (1–5)</t>
        </is>
      </c>
      <c r="K1" s="7" t="inlineStr">
        <is>
          <t>Minimum age</t>
        </is>
      </c>
      <c r="L1" s="7" t="inlineStr">
        <is>
          <t>Positions</t>
        </is>
      </c>
      <c r="M1" s="7" t="inlineStr">
        <is>
          <t>Contraindications</t>
        </is>
      </c>
      <c r="N1" s="7" t="inlineStr">
        <is>
          <t>Cue (tip shown to the user)</t>
        </is>
      </c>
      <c r="O1" s="7" t="inlineStr">
        <is>
          <t>Used as</t>
        </is>
      </c>
      <c r="P1" s="7" t="inlineStr">
        <is>
          <t>Joint movements (range)</t>
        </is>
      </c>
      <c r="Q1" s="7" t="inlineStr">
        <is>
          <t>Decision: Approve / Adjust / Reject</t>
        </is>
      </c>
      <c r="R1" s="7" t="inlineStr">
        <is>
          <t>Comment</t>
        </is>
      </c>
    </row>
    <row r="2">
      <c r="A2" s="8" t="n">
        <v>1</v>
      </c>
      <c r="B2" s="8" t="inlineStr">
        <is>
          <t>band_pull_apart</t>
        </is>
      </c>
      <c r="C2" s="8" t="inlineStr">
        <is>
          <t>Band pull-apart</t>
        </is>
      </c>
      <c r="D2" s="8" t="inlineStr">
        <is>
          <t>Has video (woman + man)</t>
        </is>
      </c>
      <c r="E2" s="8" t="inlineStr">
        <is>
          <t>band_pull_apart.f.mp4</t>
        </is>
      </c>
      <c r="F2" s="8" t="inlineStr">
        <is>
          <t>band_pull_apart.m.mp4</t>
        </is>
      </c>
      <c r="G2" s="8" t="inlineStr">
        <is>
          <t>Rear shoulders (Deltoid · rear head): primary, 0.8
Upper back (Rhomboids and middle trapezius): secondary, 0.6</t>
        </is>
      </c>
      <c r="H2" s="8" t="inlineStr">
        <is>
          <t>Long resistance bands</t>
        </is>
      </c>
      <c r="I2" s="8" t="inlineStr">
        <is>
          <t>Home, Gym, Outdoors</t>
        </is>
      </c>
      <c r="J2" s="8" t="n">
        <v>1</v>
      </c>
      <c r="K2" s="8" t="inlineStr">
        <is>
          <t>9+ (kids)</t>
        </is>
      </c>
      <c r="L2" s="8" t="inlineStr">
        <is>
          <t>Standing, With support, Seated</t>
        </is>
      </c>
      <c r="M2" s="8" t="inlineStr">
        <is>
          <t>Shoulder, Recent surgery</t>
        </is>
      </c>
      <c r="N2" s="8" t="inlineStr">
        <is>
          <t>Hold the band at chest height and pull it apart, squeezing your shoulder blades.</t>
        </is>
      </c>
      <c r="O2" s="8" t="inlineStr">
        <is>
          <t>Warm-up: mobility, Main work</t>
        </is>
      </c>
      <c r="P2" s="8" t="inlineStr">
        <is>
          <t>Shoulder: Pull (full)
Shoulder: Raise arm in front (partial)
Wrist: Grip tight (partial)</t>
        </is>
      </c>
      <c r="Q2" s="9" t="n"/>
      <c r="R2" s="9" t="n"/>
    </row>
    <row r="3">
      <c r="A3" s="8" t="n">
        <v>2</v>
      </c>
      <c r="B3" s="8" t="inlineStr">
        <is>
          <t>wall_push_up</t>
        </is>
      </c>
      <c r="C3" s="8" t="inlineStr">
        <is>
          <t>Wall push-up</t>
        </is>
      </c>
      <c r="D3" s="8" t="inlineStr">
        <is>
          <t>Has video (woman + man)</t>
        </is>
      </c>
      <c r="E3" s="8" t="inlineStr">
        <is>
          <t>wall_push_up.f.mp4</t>
        </is>
      </c>
      <c r="F3" s="8" t="inlineStr">
        <is>
          <t>wall_push_up.m.mp4</t>
        </is>
      </c>
      <c r="G3" s="8" t="inlineStr">
        <is>
          <t>Mid chest (Pectoralis major · sternal head): primary, 0.7
Triceps (Triceps brachii): secondary, 0.3
Front shoulders (Deltoid · front head): secondary, 0.3</t>
        </is>
      </c>
      <c r="H3" s="8" t="inlineStr">
        <is>
          <t>Bodyweight</t>
        </is>
      </c>
      <c r="I3" s="8" t="inlineStr">
        <is>
          <t>Home, Gym, Outdoors</t>
        </is>
      </c>
      <c r="J3" s="8" t="n">
        <v>1</v>
      </c>
      <c r="K3" s="8" t="inlineStr">
        <is>
          <t>9+ (kids)</t>
        </is>
      </c>
      <c r="L3" s="8" t="inlineStr">
        <is>
          <t>Standing, With support</t>
        </is>
      </c>
      <c r="M3" s="8" t="inlineStr">
        <is>
          <t>Shoulder, Elbow / wrist</t>
        </is>
      </c>
      <c r="N3" s="8" t="inlineStr">
        <is>
          <t>Hands on a wall at chest height; bend your elbows and push back.</t>
        </is>
      </c>
      <c r="O3" s="8" t="inlineStr">
        <is>
          <t>Main work</t>
        </is>
      </c>
      <c r="P3" s="8" t="inlineStr">
        <is>
          <t>Shoulder: Push (full)
Elbow: Straighten elbow with weight (full)
Wrist: Weight on your hands (partial)</t>
        </is>
      </c>
      <c r="Q3" s="9" t="n"/>
      <c r="R3" s="9" t="n"/>
    </row>
    <row r="4">
      <c r="A4" s="8" t="n">
        <v>3</v>
      </c>
      <c r="B4" s="8" t="inlineStr">
        <is>
          <t>short_range_incline_push_up</t>
        </is>
      </c>
      <c r="C4" s="8" t="inlineStr">
        <is>
          <t>Short-range incline push-up</t>
        </is>
      </c>
      <c r="D4" s="8" t="inlineStr">
        <is>
          <t>Has video (woman + man)</t>
        </is>
      </c>
      <c r="E4" s="8" t="inlineStr">
        <is>
          <t>short_range_incline_push_up.f.mp4</t>
        </is>
      </c>
      <c r="F4" s="8" t="inlineStr">
        <is>
          <t>short_range_incline_push_up.m.mp4</t>
        </is>
      </c>
      <c r="G4" s="8" t="inlineStr">
        <is>
          <t>Mid chest (Pectoralis major · sternal head): primary, 0.8
Lower chest (Pectoralis major · lower fibers): secondary, 0.4
Triceps (Triceps brachii): secondary, 0.4
Front shoulders (Deltoid · front head): secondary, 0.2</t>
        </is>
      </c>
      <c r="H4" s="8" t="inlineStr">
        <is>
          <t>Adjustable bench</t>
        </is>
      </c>
      <c r="I4" s="8" t="inlineStr">
        <is>
          <t>Home, Gym</t>
        </is>
      </c>
      <c r="J4" s="8" t="n">
        <v>1</v>
      </c>
      <c r="K4" s="8" t="inlineStr">
        <is>
          <t>9+ (kids)</t>
        </is>
      </c>
      <c r="L4" s="8" t="inlineStr">
        <is>
          <t>Standing, With support</t>
        </is>
      </c>
      <c r="M4" s="8" t="inlineStr">
        <is>
          <t>Elbow / wrist</t>
        </is>
      </c>
      <c r="N4" s="8" t="inlineStr">
        <is>
          <t>Hands on a bench, body straight; lower only halfway, then push back up.</t>
        </is>
      </c>
      <c r="O4" s="8" t="inlineStr">
        <is>
          <t>Main work</t>
        </is>
      </c>
      <c r="P4" s="8" t="inlineStr">
        <is>
          <t>Shoulder: Push (partial)
Elbow: Straighten elbow with weight (partial)
Wrist: Weight on your hands (full)</t>
        </is>
      </c>
      <c r="Q4" s="9" t="n"/>
      <c r="R4" s="9" t="n"/>
    </row>
    <row r="5">
      <c r="A5" s="8" t="n">
        <v>4</v>
      </c>
      <c r="B5" s="8" t="inlineStr">
        <is>
          <t>bird_dog</t>
        </is>
      </c>
      <c r="C5" s="8" t="inlineStr">
        <is>
          <t>Bird dog</t>
        </is>
      </c>
      <c r="D5" s="8" t="inlineStr">
        <is>
          <t>Has video (woman + man)</t>
        </is>
      </c>
      <c r="E5" s="8" t="inlineStr">
        <is>
          <t>bird_dog.f.mp4</t>
        </is>
      </c>
      <c r="F5" s="8" t="inlineStr">
        <is>
          <t>bird_dog.m.mp4</t>
        </is>
      </c>
      <c r="G5" s="8" t="inlineStr">
        <is>
          <t>Lower back (Erector spinae): primary, 0.8
Glutes (Gluteus maximus and medius): secondary, 0.5
Lower abs (Rectus abdominis · lower): stabilizer, 0.4</t>
        </is>
      </c>
      <c r="H5" s="8" t="inlineStr">
        <is>
          <t>Bodyweight</t>
        </is>
      </c>
      <c r="I5" s="8" t="inlineStr">
        <is>
          <t>Home, Gym, Outdoors</t>
        </is>
      </c>
      <c r="J5" s="8" t="n">
        <v>1</v>
      </c>
      <c r="K5" s="8" t="inlineStr">
        <is>
          <t>9+ (kids)</t>
        </is>
      </c>
      <c r="L5" s="8" t="inlineStr">
        <is>
          <t>Standing</t>
        </is>
      </c>
      <c r="M5" s="8" t="inlineStr">
        <is>
          <t>Recent surgery, Knee</t>
        </is>
      </c>
      <c r="N5" s="8" t="inlineStr">
        <is>
          <t>On hands and knees, reach one arm and the opposite leg long.</t>
        </is>
      </c>
      <c r="O5" s="8" t="inlineStr">
        <is>
          <t>Main work</t>
        </is>
      </c>
      <c r="P5" s="8" t="inlineStr">
        <is>
          <t>Shoulder: Arm overhead (partial)
Hip: Leg behind you (partial)
Wrist: Weight on your hands (hold, no movement)
Knee: Kneel (full)
Lower back: Arch your back (hold, no movement)</t>
        </is>
      </c>
      <c r="Q5" s="9" t="n"/>
      <c r="R5" s="9" t="n"/>
    </row>
    <row r="6">
      <c r="A6" s="8" t="n">
        <v>5</v>
      </c>
      <c r="B6" s="8" t="inlineStr">
        <is>
          <t>dumbbell_curl</t>
        </is>
      </c>
      <c r="C6" s="8" t="inlineStr">
        <is>
          <t>Dumbbell curl</t>
        </is>
      </c>
      <c r="D6" s="8" t="inlineStr">
        <is>
          <t>Has video (woman + man)</t>
        </is>
      </c>
      <c r="E6" s="8" t="inlineStr">
        <is>
          <t>dumbbell_curl.f.mp4</t>
        </is>
      </c>
      <c r="F6" s="8" t="inlineStr">
        <is>
          <t>dumbbell_curl.m.mp4</t>
        </is>
      </c>
      <c r="G6" s="8" t="inlineStr">
        <is>
          <t>Biceps (Biceps brachii): primary, 1.0
Forearms (Wrist flexors and extensors): secondary, 0.3</t>
        </is>
      </c>
      <c r="H6" s="8" t="inlineStr">
        <is>
          <t>Dumbbells</t>
        </is>
      </c>
      <c r="I6" s="8" t="inlineStr">
        <is>
          <t>Home, Gym</t>
        </is>
      </c>
      <c r="J6" s="8" t="n">
        <v>1</v>
      </c>
      <c r="K6" s="8" t="inlineStr">
        <is>
          <t>13+ (teens)</t>
        </is>
      </c>
      <c r="L6" s="8" t="inlineStr">
        <is>
          <t>Standing, Seated</t>
        </is>
      </c>
      <c r="M6" s="8" t="inlineStr">
        <is>
          <t>Elbow / wrist</t>
        </is>
      </c>
      <c r="N6" s="8" t="inlineStr">
        <is>
          <t>Elbows by your sides; curl up and lower slowly.</t>
        </is>
      </c>
      <c r="O6" s="8" t="inlineStr">
        <is>
          <t>Main work</t>
        </is>
      </c>
      <c r="P6" s="8" t="inlineStr">
        <is>
          <t>Elbow: Bend elbow with weight (full)
Wrist: Grip tight (full)</t>
        </is>
      </c>
      <c r="Q6" s="9" t="n"/>
      <c r="R6" s="9" t="n"/>
    </row>
    <row r="7">
      <c r="A7" s="8" t="n">
        <v>6</v>
      </c>
      <c r="B7" s="8" t="inlineStr">
        <is>
          <t>band_curl</t>
        </is>
      </c>
      <c r="C7" s="8" t="inlineStr">
        <is>
          <t>Band curl</t>
        </is>
      </c>
      <c r="D7" s="8" t="inlineStr">
        <is>
          <t>Has video (woman + man)</t>
        </is>
      </c>
      <c r="E7" s="8" t="inlineStr">
        <is>
          <t>band_curl.f.mp4</t>
        </is>
      </c>
      <c r="F7" s="8" t="inlineStr">
        <is>
          <t>band_curl.m.mp4</t>
        </is>
      </c>
      <c r="G7" s="8" t="inlineStr">
        <is>
          <t>Biceps (Biceps brachii): primary, 0.9
Forearms (Wrist flexors and extensors): secondary, 0.3</t>
        </is>
      </c>
      <c r="H7" s="8" t="inlineStr">
        <is>
          <t>Long resistance bands</t>
        </is>
      </c>
      <c r="I7" s="8" t="inlineStr">
        <is>
          <t>Home, Gym, Outdoors</t>
        </is>
      </c>
      <c r="J7" s="8" t="n">
        <v>1</v>
      </c>
      <c r="K7" s="8" t="inlineStr">
        <is>
          <t>9+ (kids)</t>
        </is>
      </c>
      <c r="L7" s="8" t="inlineStr">
        <is>
          <t>Standing, With support, Seated</t>
        </is>
      </c>
      <c r="M7" s="8" t="inlineStr">
        <is>
          <t>Elbow / wrist</t>
        </is>
      </c>
      <c r="N7" s="8" t="inlineStr">
        <is>
          <t>Stand on the band and curl your hands to your shoulders.</t>
        </is>
      </c>
      <c r="O7" s="8" t="inlineStr">
        <is>
          <t>Main work</t>
        </is>
      </c>
      <c r="P7" s="8" t="inlineStr">
        <is>
          <t>Elbow: Bend elbow with weight (full)
Wrist: Grip tight (partial)</t>
        </is>
      </c>
      <c r="Q7" s="9" t="n"/>
      <c r="R7" s="9" t="n"/>
    </row>
    <row r="8">
      <c r="A8" s="8" t="n">
        <v>7</v>
      </c>
      <c r="B8" s="8" t="inlineStr">
        <is>
          <t>dead_bug</t>
        </is>
      </c>
      <c r="C8" s="8" t="inlineStr">
        <is>
          <t>Dead bug</t>
        </is>
      </c>
      <c r="D8" s="8" t="inlineStr">
        <is>
          <t>Has video (woman + man)</t>
        </is>
      </c>
      <c r="E8" s="8" t="inlineStr">
        <is>
          <t>dead_bug.f.mp4</t>
        </is>
      </c>
      <c r="F8" s="8" t="inlineStr">
        <is>
          <t>dead_bug.m.mp4</t>
        </is>
      </c>
      <c r="G8" s="8" t="inlineStr">
        <is>
          <t>Lower abs (Rectus abdominis · lower): primary, 1.0
Upper abs (Rectus abdominis · upper): secondary, 0.5</t>
        </is>
      </c>
      <c r="H8" s="8" t="inlineStr">
        <is>
          <t>Bodyweight</t>
        </is>
      </c>
      <c r="I8" s="8" t="inlineStr">
        <is>
          <t>Home, Gym</t>
        </is>
      </c>
      <c r="J8" s="8" t="n">
        <v>1</v>
      </c>
      <c r="K8" s="8" t="inlineStr">
        <is>
          <t>9+ (kids)</t>
        </is>
      </c>
      <c r="L8" s="8" t="inlineStr">
        <is>
          <t>Standing</t>
        </is>
      </c>
      <c r="M8" s="8" t="inlineStr">
        <is>
          <t>Pregnant / postpartum, Recent surgery</t>
        </is>
      </c>
      <c r="N8" s="8" t="inlineStr">
        <is>
          <t>On your back, lower the opposite arm and leg, low back down.</t>
        </is>
      </c>
      <c r="O8" s="8" t="inlineStr">
        <is>
          <t>Main work</t>
        </is>
      </c>
      <c r="P8" s="8" t="inlineStr">
        <is>
          <t>Shoulder: Arm overhead (partial)
Hip: Knee toward chest (full)
Knee: Bend the knee deep (partial)</t>
        </is>
      </c>
      <c r="Q8" s="9" t="n"/>
      <c r="R8" s="9" t="n"/>
    </row>
    <row r="9">
      <c r="A9" s="8" t="n">
        <v>8</v>
      </c>
      <c r="B9" s="8" t="inlineStr">
        <is>
          <t>crunch</t>
        </is>
      </c>
      <c r="C9" s="8" t="inlineStr">
        <is>
          <t>Crunch</t>
        </is>
      </c>
      <c r="D9" s="8" t="inlineStr">
        <is>
          <t>Has video (woman + man)</t>
        </is>
      </c>
      <c r="E9" s="8" t="inlineStr">
        <is>
          <t>crunch.f.mp4</t>
        </is>
      </c>
      <c r="F9" s="8" t="inlineStr">
        <is>
          <t>crunch.m.mp4</t>
        </is>
      </c>
      <c r="G9" s="8" t="inlineStr">
        <is>
          <t>Upper abs (Rectus abdominis · upper): primary, 1.0
Lower abs (Rectus abdominis · lower): secondary, 0.4</t>
        </is>
      </c>
      <c r="H9" s="8" t="inlineStr">
        <is>
          <t>Bodyweight</t>
        </is>
      </c>
      <c r="I9" s="8" t="inlineStr">
        <is>
          <t>Home, Gym</t>
        </is>
      </c>
      <c r="J9" s="8" t="n">
        <v>1</v>
      </c>
      <c r="K9" s="8" t="inlineStr">
        <is>
          <t>9+ (kids)</t>
        </is>
      </c>
      <c r="L9" s="8" t="inlineStr">
        <is>
          <t>Standing</t>
        </is>
      </c>
      <c r="M9" s="8" t="inlineStr">
        <is>
          <t>Neck, Pregnant / postpartum, Recent surgery, Osteoporosis</t>
        </is>
      </c>
      <c r="N9" s="8" t="inlineStr">
        <is>
          <t>Knees bent; curl your shoulders off the floor, then lower.</t>
        </is>
      </c>
      <c r="O9" s="8" t="inlineStr">
        <is>
          <t>Main work</t>
        </is>
      </c>
      <c r="P9" s="8" t="inlineStr">
        <is>
          <t>Neck: Look down (partial)
Lower back: Bend forward (partial)</t>
        </is>
      </c>
      <c r="Q9" s="9" t="n"/>
      <c r="R9" s="9" t="n"/>
    </row>
    <row r="10">
      <c r="A10" s="8" t="n">
        <v>9</v>
      </c>
      <c r="B10" s="8" t="inlineStr">
        <is>
          <t>bodyweight_squat</t>
        </is>
      </c>
      <c r="C10" s="8" t="inlineStr">
        <is>
          <t>Bodyweight squat</t>
        </is>
      </c>
      <c r="D10" s="8" t="inlineStr">
        <is>
          <t>Has video (woman + man)</t>
        </is>
      </c>
      <c r="E10" s="8" t="inlineStr">
        <is>
          <t>bodyweight_squat.f.mp4</t>
        </is>
      </c>
      <c r="F10" s="8" t="inlineStr">
        <is>
          <t>bodyweight_squat.m.mp4</t>
        </is>
      </c>
      <c r="G10" s="8" t="inlineStr">
        <is>
          <t>Quads (Quadriceps): primary, 1.0
Glutes (Gluteus maximus and medius): secondary, 0.7
Inner thighs (Hip adductors): secondary, 0.3</t>
        </is>
      </c>
      <c r="H10" s="8" t="inlineStr">
        <is>
          <t>Bodyweight</t>
        </is>
      </c>
      <c r="I10" s="8" t="inlineStr">
        <is>
          <t>Home, Gym, Outdoors</t>
        </is>
      </c>
      <c r="J10" s="8" t="n">
        <v>1</v>
      </c>
      <c r="K10" s="8" t="inlineStr">
        <is>
          <t>9+ (kids)</t>
        </is>
      </c>
      <c r="L10" s="8" t="inlineStr">
        <is>
          <t>Standing, With support</t>
        </is>
      </c>
      <c r="M10" s="8" t="inlineStr">
        <is>
          <t>Knee</t>
        </is>
      </c>
      <c r="N10" s="8" t="inlineStr">
        <is>
          <t>Sit back and down, knees over toes, then stand.</t>
        </is>
      </c>
      <c r="O10" s="8" t="inlineStr">
        <is>
          <t>Main work</t>
        </is>
      </c>
      <c r="P10" s="8" t="inlineStr">
        <is>
          <t>Knee: Bend the knee deep (full)
Hip: Deep squat (full)
Ankle: Knee over toes (full)</t>
        </is>
      </c>
      <c r="Q10" s="9" t="n"/>
      <c r="R10" s="9" t="n"/>
    </row>
    <row r="11">
      <c r="A11" s="8" t="n">
        <v>10</v>
      </c>
      <c r="B11" s="8" t="inlineStr">
        <is>
          <t>sit_to_stand</t>
        </is>
      </c>
      <c r="C11" s="8" t="inlineStr">
        <is>
          <t>Sit to stand</t>
        </is>
      </c>
      <c r="D11" s="8" t="inlineStr">
        <is>
          <t>Has video (woman + man)</t>
        </is>
      </c>
      <c r="E11" s="8" t="inlineStr">
        <is>
          <t>sit_to_stand.f.mp4</t>
        </is>
      </c>
      <c r="F11" s="8" t="inlineStr">
        <is>
          <t>sit_to_stand.m.mp4</t>
        </is>
      </c>
      <c r="G11" s="8" t="inlineStr">
        <is>
          <t>Quads (Quadriceps): primary, 0.9
Glutes (Gluteus maximus and medius): secondary, 0.7</t>
        </is>
      </c>
      <c r="H11" s="8" t="inlineStr">
        <is>
          <t>Bodyweight</t>
        </is>
      </c>
      <c r="I11" s="8" t="inlineStr">
        <is>
          <t>Home, Gym</t>
        </is>
      </c>
      <c r="J11" s="8" t="n">
        <v>1</v>
      </c>
      <c r="K11" s="8" t="inlineStr">
        <is>
          <t>9+ (kids)</t>
        </is>
      </c>
      <c r="L11" s="8" t="inlineStr">
        <is>
          <t>Standing, With support</t>
        </is>
      </c>
      <c r="M11" s="8" t="inlineStr">
        <is>
          <t>Knee, Hip, Recent surgery</t>
        </is>
      </c>
      <c r="N11" s="8" t="inlineStr">
        <is>
          <t>From a chair, stand up without using your hands, then sit slowly.</t>
        </is>
      </c>
      <c r="O11" s="8" t="inlineStr">
        <is>
          <t>Main work</t>
        </is>
      </c>
      <c r="P11" s="8" t="inlineStr">
        <is>
          <t>Knee: Bend the knee deep (partial)
Hip: Knee toward chest (partial)</t>
        </is>
      </c>
      <c r="Q11" s="9" t="n"/>
      <c r="R11" s="9" t="n"/>
    </row>
    <row r="12">
      <c r="A12" s="8" t="n">
        <v>11</v>
      </c>
      <c r="B12" s="8" t="inlineStr">
        <is>
          <t>glute_bridge</t>
        </is>
      </c>
      <c r="C12" s="8" t="inlineStr">
        <is>
          <t>Glute bridge</t>
        </is>
      </c>
      <c r="D12" s="8" t="inlineStr">
        <is>
          <t>Has video (woman + man)</t>
        </is>
      </c>
      <c r="E12" s="8" t="inlineStr">
        <is>
          <t>glute_bridge.f.mp4</t>
        </is>
      </c>
      <c r="F12" s="8" t="inlineStr">
        <is>
          <t>glute_bridge.m.mp4</t>
        </is>
      </c>
      <c r="G12" s="8" t="inlineStr">
        <is>
          <t>Glutes (Gluteus maximus and medius): primary, 1.0
Hamstrings (Hamstrings): secondary, 0.5
Lower back (Erector spinae): stabilizer, 0.2</t>
        </is>
      </c>
      <c r="H12" s="8" t="inlineStr">
        <is>
          <t>Bodyweight</t>
        </is>
      </c>
      <c r="I12" s="8" t="inlineStr">
        <is>
          <t>Home, Gym, Outdoors</t>
        </is>
      </c>
      <c r="J12" s="8" t="n">
        <v>1</v>
      </c>
      <c r="K12" s="8" t="inlineStr">
        <is>
          <t>9+ (kids)</t>
        </is>
      </c>
      <c r="L12" s="8" t="inlineStr">
        <is>
          <t>Standing</t>
        </is>
      </c>
      <c r="M12" s="8" t="inlineStr">
        <is>
          <t>Pregnant / postpartum</t>
        </is>
      </c>
      <c r="N12" s="8" t="inlineStr">
        <is>
          <t>On your back, drive through your heels and lift your hips.</t>
        </is>
      </c>
      <c r="O12" s="8" t="inlineStr">
        <is>
          <t>Main work</t>
        </is>
      </c>
      <c r="P12" s="8" t="inlineStr">
        <is>
          <t>Hip: Leg behind you (full)
Lower back: Arch your back (hold, no movement)
Knee: Bend the knee deep (hold, no movement)</t>
        </is>
      </c>
      <c r="Q12" s="9" t="n"/>
      <c r="R12" s="9" t="n"/>
    </row>
    <row r="13">
      <c r="A13" s="8" t="n">
        <v>12</v>
      </c>
      <c r="B13" s="8" t="inlineStr">
        <is>
          <t>seated_knee_raise</t>
        </is>
      </c>
      <c r="C13" s="8" t="inlineStr">
        <is>
          <t>Seated knee raise</t>
        </is>
      </c>
      <c r="D13" s="8" t="inlineStr">
        <is>
          <t>Has video (woman + man)</t>
        </is>
      </c>
      <c r="E13" s="8" t="inlineStr">
        <is>
          <t>seated_knee_raise.f.mp4</t>
        </is>
      </c>
      <c r="F13" s="8" t="inlineStr">
        <is>
          <t>seated_knee_raise.m.mp4</t>
        </is>
      </c>
      <c r="G13" s="8" t="inlineStr">
        <is>
          <t>Hips (Hip flexors): primary, 1.0
Lower abs (Rectus abdominis · lower): secondary, 0.4</t>
        </is>
      </c>
      <c r="H13" s="8" t="inlineStr">
        <is>
          <t>Bodyweight</t>
        </is>
      </c>
      <c r="I13" s="8" t="inlineStr">
        <is>
          <t>Home, Gym, Outdoors</t>
        </is>
      </c>
      <c r="J13" s="8" t="n">
        <v>1</v>
      </c>
      <c r="K13" s="8" t="inlineStr">
        <is>
          <t>9+ (kids)</t>
        </is>
      </c>
      <c r="L13" s="8" t="inlineStr">
        <is>
          <t>Standing, With support, Seated</t>
        </is>
      </c>
      <c r="M13" s="8" t="inlineStr">
        <is>
          <t>Hip</t>
        </is>
      </c>
      <c r="N13" s="8" t="inlineStr">
        <is>
          <t>Sit tall and lift one knee toward your chest.</t>
        </is>
      </c>
      <c r="O13" s="8" t="inlineStr">
        <is>
          <t>Main work</t>
        </is>
      </c>
      <c r="P13" s="8" t="inlineStr">
        <is>
          <t>Hip: Knee toward chest (full)
Knee: Bend the knee deep (hold, no movement)</t>
        </is>
      </c>
      <c r="Q13" s="9" t="n"/>
      <c r="R13" s="9" t="n"/>
    </row>
    <row r="14">
      <c r="A14" s="8" t="n">
        <v>13</v>
      </c>
      <c r="B14" s="8" t="inlineStr">
        <is>
          <t>single_leg_balance</t>
        </is>
      </c>
      <c r="C14" s="8" t="inlineStr">
        <is>
          <t>Single-leg balance</t>
        </is>
      </c>
      <c r="D14" s="8" t="inlineStr">
        <is>
          <t>Has video (woman + man)</t>
        </is>
      </c>
      <c r="E14" s="8" t="inlineStr">
        <is>
          <t>single_leg_balance.f.mp4</t>
        </is>
      </c>
      <c r="F14" s="8" t="inlineStr">
        <is>
          <t>single_leg_balance.m.mp4</t>
        </is>
      </c>
      <c r="G14" s="8" t="inlineStr">
        <is>
          <t>Calves (Gastrocnemius and soleus): primary, 0.6
Glutes (Gluteus maximus and medius): secondary, 0.5
Shins (Tibialis anterior): secondary, 0.4</t>
        </is>
      </c>
      <c r="H14" s="8" t="inlineStr">
        <is>
          <t>Bodyweight</t>
        </is>
      </c>
      <c r="I14" s="8" t="inlineStr">
        <is>
          <t>Home, Gym, Outdoors</t>
        </is>
      </c>
      <c r="J14" s="8" t="n">
        <v>1</v>
      </c>
      <c r="K14" s="8" t="inlineStr">
        <is>
          <t>9+ (kids)</t>
        </is>
      </c>
      <c r="L14" s="8" t="inlineStr">
        <is>
          <t>Standing, With support</t>
        </is>
      </c>
      <c r="M14" s="8" t="inlineStr">
        <is>
          <t>Ankle / foot, Hip, Recent surgery</t>
        </is>
      </c>
      <c r="N14" s="8" t="inlineStr">
        <is>
          <t>Stand on one leg; hold a support if you need it.</t>
        </is>
      </c>
      <c r="O14" s="8" t="inlineStr">
        <is>
          <t>Main work, Finisher: mobility</t>
        </is>
      </c>
      <c r="P14" s="8" t="inlineStr">
        <is>
          <t>Ankle: Balance and uneven ground (full)
Hip: Stand on one leg (full)
Knee: Straighten with effort (hold, no movement)</t>
        </is>
      </c>
      <c r="Q14" s="9" t="n"/>
      <c r="R14" s="9" t="n"/>
    </row>
    <row r="15">
      <c r="A15" s="8" t="n">
        <v>14</v>
      </c>
      <c r="B15" s="8" t="inlineStr">
        <is>
          <t>knee_push_up</t>
        </is>
      </c>
      <c r="C15" s="8" t="inlineStr">
        <is>
          <t>Knee push-up</t>
        </is>
      </c>
      <c r="D15" s="8" t="inlineStr">
        <is>
          <t>Has video (woman + man)</t>
        </is>
      </c>
      <c r="E15" s="8" t="inlineStr">
        <is>
          <t>knee_push_up.f.mp4</t>
        </is>
      </c>
      <c r="F15" s="8" t="inlineStr">
        <is>
          <t>knee_push_up.m.mp4</t>
        </is>
      </c>
      <c r="G15" s="8" t="inlineStr">
        <is>
          <t>Mid chest (Pectoralis major · sternal head): primary, 0.9
Triceps (Triceps brachii): secondary, 0.5
Front shoulders (Deltoid · front head): secondary, 0.4</t>
        </is>
      </c>
      <c r="H15" s="8" t="inlineStr">
        <is>
          <t>Bodyweight</t>
        </is>
      </c>
      <c r="I15" s="8" t="inlineStr">
        <is>
          <t>Home, Gym, Outdoors</t>
        </is>
      </c>
      <c r="J15" s="8" t="n">
        <v>1</v>
      </c>
      <c r="K15" s="8" t="inlineStr">
        <is>
          <t>9+ (kids)</t>
        </is>
      </c>
      <c r="L15" s="8" t="inlineStr">
        <is>
          <t>Standing</t>
        </is>
      </c>
      <c r="M15" s="8" t="inlineStr">
        <is>
          <t>Shoulder, Elbow / wrist, Recent surgery, Knee</t>
        </is>
      </c>
      <c r="N15" s="8" t="inlineStr">
        <is>
          <t>Keep a straight line from knees to head and lower your chest between your hands.</t>
        </is>
      </c>
      <c r="O15" s="8" t="inlineStr">
        <is>
          <t>Main work</t>
        </is>
      </c>
      <c r="P15" s="8" t="inlineStr">
        <is>
          <t>Shoulder: Push (full)
Elbow: Straighten elbow with weight (full)
Wrist: Weight on your hands (full)
Knee: Kneel (full)</t>
        </is>
      </c>
      <c r="Q15" s="9" t="n"/>
      <c r="R15" s="9" t="n"/>
    </row>
    <row r="16">
      <c r="A16" s="8" t="n">
        <v>15</v>
      </c>
      <c r="B16" s="8" t="inlineStr">
        <is>
          <t>airplane_arm_hold</t>
        </is>
      </c>
      <c r="C16" s="8" t="inlineStr">
        <is>
          <t>Airplane arm hold</t>
        </is>
      </c>
      <c r="D16" s="8" t="inlineStr">
        <is>
          <t>Has video (woman + man)</t>
        </is>
      </c>
      <c r="E16" s="8" t="inlineStr">
        <is>
          <t>airplane_arm_hold.f.mp4</t>
        </is>
      </c>
      <c r="F16" s="8" t="inlineStr">
        <is>
          <t>airplane_arm_hold.m.mp4</t>
        </is>
      </c>
      <c r="G16" s="8" t="inlineStr">
        <is>
          <t>Front shoulders (Deltoid · front head): primary, 0.7
Traps (Trapezius): secondary, 0.4
Rear shoulders (Deltoid · rear head): secondary, 0.3</t>
        </is>
      </c>
      <c r="H16" s="8" t="inlineStr">
        <is>
          <t>Bodyweight</t>
        </is>
      </c>
      <c r="I16" s="8" t="inlineStr">
        <is>
          <t>Home, Gym, Outdoors</t>
        </is>
      </c>
      <c r="J16" s="8" t="n">
        <v>1</v>
      </c>
      <c r="K16" s="8" t="inlineStr">
        <is>
          <t>9+ (kids)</t>
        </is>
      </c>
      <c r="L16" s="8" t="inlineStr">
        <is>
          <t>Standing, With support, Seated</t>
        </is>
      </c>
      <c r="M16" s="8" t="inlineStr">
        <is>
          <t>Shoulder</t>
        </is>
      </c>
      <c r="N16" s="8" t="inlineStr">
        <is>
          <t>Lift both arms out to the sides at shoulder height, thumbs up, and hold them still like airplane wings.</t>
        </is>
      </c>
      <c r="O16" s="8" t="inlineStr">
        <is>
          <t>Main work</t>
        </is>
      </c>
      <c r="P16" s="8" t="inlineStr">
        <is>
          <t>Shoulder: Raise arm to the side (hold, no movement)</t>
        </is>
      </c>
      <c r="Q16" s="9" t="n"/>
      <c r="R16" s="9" t="n"/>
    </row>
    <row r="17">
      <c r="A17" s="8" t="n">
        <v>16</v>
      </c>
      <c r="B17" s="8" t="inlineStr">
        <is>
          <t>upward_palm_press_hold</t>
        </is>
      </c>
      <c r="C17" s="8" t="inlineStr">
        <is>
          <t>Upward palm press hold</t>
        </is>
      </c>
      <c r="D17" s="8" t="inlineStr">
        <is>
          <t>Has video (woman + man)</t>
        </is>
      </c>
      <c r="E17" s="8" t="inlineStr">
        <is>
          <t>upward_palm_press_hold.f.mp4</t>
        </is>
      </c>
      <c r="F17" s="8" t="inlineStr">
        <is>
          <t>upward_palm_press_hold.m.mp4</t>
        </is>
      </c>
      <c r="G17" s="8" t="inlineStr">
        <is>
          <t>Upper chest (Pectoralis major · clavicular head): primary, 0.6
Front shoulders (Deltoid · front head): secondary, 0.4</t>
        </is>
      </c>
      <c r="H17" s="8" t="inlineStr">
        <is>
          <t>Bodyweight</t>
        </is>
      </c>
      <c r="I17" s="8" t="inlineStr">
        <is>
          <t>Home, Gym, Outdoors</t>
        </is>
      </c>
      <c r="J17" s="8" t="n">
        <v>1</v>
      </c>
      <c r="K17" s="8" t="inlineStr">
        <is>
          <t>9+ (kids)</t>
        </is>
      </c>
      <c r="L17" s="8" t="inlineStr">
        <is>
          <t>Standing, With support, Seated</t>
        </is>
      </c>
      <c r="M17" s="8" t="inlineStr">
        <is>
          <t>Recent surgery</t>
        </is>
      </c>
      <c r="N17" s="8" t="inlineStr">
        <is>
          <t>Press palms together in front of your face, angled slightly up, and squeeze hard while you breathe.</t>
        </is>
      </c>
      <c r="O17" s="8" t="inlineStr">
        <is>
          <t>Main work</t>
        </is>
      </c>
      <c r="P17" s="8" t="inlineStr">
        <is>
          <t>Shoulder: Push (hold, no movement)
Shoulder: Raise arm in front (hold, no movement)</t>
        </is>
      </c>
      <c r="Q17" s="9" t="n"/>
      <c r="R17" s="9" t="n"/>
    </row>
    <row r="18">
      <c r="A18" s="8" t="n">
        <v>17</v>
      </c>
      <c r="B18" s="8" t="inlineStr">
        <is>
          <t>downward_palm_press_hold</t>
        </is>
      </c>
      <c r="C18" s="8" t="inlineStr">
        <is>
          <t>Low palm press hold</t>
        </is>
      </c>
      <c r="D18" s="8" t="inlineStr">
        <is>
          <t>Has video (woman + man)</t>
        </is>
      </c>
      <c r="E18" s="8" t="inlineStr">
        <is>
          <t>downward_palm_press_hold.f.mp4</t>
        </is>
      </c>
      <c r="F18" s="8" t="inlineStr">
        <is>
          <t>downward_palm_press_hold.m.mp4</t>
        </is>
      </c>
      <c r="G18" s="8" t="inlineStr">
        <is>
          <t>Lower chest (Pectoralis major · lower fibers): primary, 0.6
Triceps (Triceps brachii): secondary, 0.3
Lats (Latissimus dorsi): secondary, 0.3</t>
        </is>
      </c>
      <c r="H18" s="8" t="inlineStr">
        <is>
          <t>Bodyweight</t>
        </is>
      </c>
      <c r="I18" s="8" t="inlineStr">
        <is>
          <t>Home, Gym, Outdoors</t>
        </is>
      </c>
      <c r="J18" s="8" t="n">
        <v>1</v>
      </c>
      <c r="K18" s="8" t="inlineStr">
        <is>
          <t>9+ (kids)</t>
        </is>
      </c>
      <c r="L18" s="8" t="inlineStr">
        <is>
          <t>Standing, With support, Seated</t>
        </is>
      </c>
      <c r="M18" s="8" t="inlineStr">
        <is>
          <t>Recent surgery</t>
        </is>
      </c>
      <c r="N18" s="8" t="inlineStr">
        <is>
          <t>Press palms together at belly height, pointing slightly down, and squeeze while breathing normally.</t>
        </is>
      </c>
      <c r="O18" s="8" t="inlineStr">
        <is>
          <t>Main work</t>
        </is>
      </c>
      <c r="P18" s="8" t="inlineStr">
        <is>
          <t>Shoulder: Push (hold, no movement)</t>
        </is>
      </c>
      <c r="Q18" s="9" t="n"/>
      <c r="R18" s="9" t="n"/>
    </row>
    <row r="19">
      <c r="A19" s="8" t="n">
        <v>18</v>
      </c>
      <c r="B19" s="8" t="inlineStr">
        <is>
          <t>self_resisted_triceps_press</t>
        </is>
      </c>
      <c r="C19" s="8" t="inlineStr">
        <is>
          <t>Self-resisted triceps press</t>
        </is>
      </c>
      <c r="D19" s="8" t="inlineStr">
        <is>
          <t>Has video (woman + man)</t>
        </is>
      </c>
      <c r="E19" s="8" t="inlineStr">
        <is>
          <t>self_resisted_triceps_press.f.mp4</t>
        </is>
      </c>
      <c r="F19" s="8" t="inlineStr">
        <is>
          <t>self_resisted_triceps_press.m.mp4</t>
        </is>
      </c>
      <c r="G19" s="8" t="inlineStr">
        <is>
          <t>Triceps (Triceps brachii): primary, 0.6
Biceps (Biceps brachii): secondary, 0.3</t>
        </is>
      </c>
      <c r="H19" s="8" t="inlineStr">
        <is>
          <t>Bodyweight</t>
        </is>
      </c>
      <c r="I19" s="8" t="inlineStr">
        <is>
          <t>Home, Gym, Outdoors</t>
        </is>
      </c>
      <c r="J19" s="8" t="n">
        <v>1</v>
      </c>
      <c r="K19" s="8" t="inlineStr">
        <is>
          <t>9+ (kids)</t>
        </is>
      </c>
      <c r="L19" s="8" t="inlineStr">
        <is>
          <t>Standing, With support, Seated</t>
        </is>
      </c>
      <c r="M19" s="8" t="inlineStr">
        <is>
          <t>Elbow / wrist, Recent surgery</t>
        </is>
      </c>
      <c r="N19" s="8" t="inlineStr">
        <is>
          <t>Push one hand down to straighten the arm while the other hand resists it; go slowly, then switch.</t>
        </is>
      </c>
      <c r="O19" s="8" t="inlineStr">
        <is>
          <t>Main work</t>
        </is>
      </c>
      <c r="P19" s="8" t="inlineStr">
        <is>
          <t>Elbow: Straighten elbow with weight (full)</t>
        </is>
      </c>
      <c r="Q19" s="9" t="n"/>
      <c r="R19" s="9" t="n"/>
    </row>
    <row r="20">
      <c r="A20" s="8" t="n">
        <v>19</v>
      </c>
      <c r="B20" s="8" t="inlineStr">
        <is>
          <t>doorframe_row</t>
        </is>
      </c>
      <c r="C20" s="8" t="inlineStr">
        <is>
          <t>Doorframe row</t>
        </is>
      </c>
      <c r="D20" s="8" t="inlineStr">
        <is>
          <t>Has video (woman + man)</t>
        </is>
      </c>
      <c r="E20" s="8" t="inlineStr">
        <is>
          <t>doorframe_row.f.mp4</t>
        </is>
      </c>
      <c r="F20" s="8" t="inlineStr">
        <is>
          <t>doorframe_row.m.mp4</t>
        </is>
      </c>
      <c r="G20" s="8" t="inlineStr">
        <is>
          <t>Upper back (Rhomboids and middle trapezius): primary, 0.8
Lats (Latissimus dorsi): primary, 0.6
Biceps (Biceps brachii): secondary, 0.4</t>
        </is>
      </c>
      <c r="H20" s="8" t="inlineStr">
        <is>
          <t>Bodyweight</t>
        </is>
      </c>
      <c r="I20" s="8" t="inlineStr">
        <is>
          <t>Home, Gym, Outdoors</t>
        </is>
      </c>
      <c r="J20" s="8" t="n">
        <v>1</v>
      </c>
      <c r="K20" s="8" t="inlineStr">
        <is>
          <t>9+ (kids)</t>
        </is>
      </c>
      <c r="L20" s="8" t="inlineStr">
        <is>
          <t>Standing, With support</t>
        </is>
      </c>
      <c r="M20" s="8" t="inlineStr">
        <is>
          <t>Recent surgery</t>
        </is>
      </c>
      <c r="N20" s="8" t="inlineStr">
        <is>
          <t>Hold both sides of a sturdy doorframe, lean back with straight arms, then pull your chest toward the door.</t>
        </is>
      </c>
      <c r="O20" s="8" t="inlineStr">
        <is>
          <t>Main work</t>
        </is>
      </c>
      <c r="P20" s="8" t="inlineStr">
        <is>
          <t>Shoulder: Pull (full)
Elbow: Bend elbow with weight (full)
Wrist: Grip tight (full)</t>
        </is>
      </c>
      <c r="Q20" s="9" t="n"/>
      <c r="R20" s="9" t="n"/>
    </row>
    <row r="21">
      <c r="A21" s="8" t="n">
        <v>20</v>
      </c>
      <c r="B21" s="8" t="inlineStr">
        <is>
          <t>scapular_squeeze</t>
        </is>
      </c>
      <c r="C21" s="8" t="inlineStr">
        <is>
          <t>Shoulder blade squeeze</t>
        </is>
      </c>
      <c r="D21" s="8" t="inlineStr">
        <is>
          <t>Has video (woman + man)</t>
        </is>
      </c>
      <c r="E21" s="8" t="inlineStr">
        <is>
          <t>scapular_squeeze.f.mp4</t>
        </is>
      </c>
      <c r="F21" s="8" t="inlineStr">
        <is>
          <t>scapular_squeeze.m.mp4</t>
        </is>
      </c>
      <c r="G21" s="8" t="inlineStr">
        <is>
          <t>Upper back (Rhomboids and middle trapezius): primary, 0.7
Traps (Trapezius): primary, 0.5
Rear shoulders (Deltoid · rear head): secondary, 0.4</t>
        </is>
      </c>
      <c r="H21" s="8" t="inlineStr">
        <is>
          <t>Bodyweight</t>
        </is>
      </c>
      <c r="I21" s="8" t="inlineStr">
        <is>
          <t>Home, Gym, Outdoors</t>
        </is>
      </c>
      <c r="J21" s="8" t="n">
        <v>1</v>
      </c>
      <c r="K21" s="8" t="inlineStr">
        <is>
          <t>9+ (kids)</t>
        </is>
      </c>
      <c r="L21" s="8" t="inlineStr">
        <is>
          <t>Standing, With support, Seated</t>
        </is>
      </c>
      <c r="M21" s="8" t="inlineStr">
        <is>
          <t>Recent surgery</t>
        </is>
      </c>
      <c r="N21" s="8" t="inlineStr">
        <is>
          <t>Sit or stand tall, squeeze your shoulder blades back and down, hold, then relax without shrugging.</t>
        </is>
      </c>
      <c r="O21" s="8" t="inlineStr">
        <is>
          <t>Main work</t>
        </is>
      </c>
      <c r="P21" s="8" t="inlineStr">
        <is>
          <t>Shoulder: Pull (hold, no movement)</t>
        </is>
      </c>
      <c r="Q21" s="9" t="n"/>
      <c r="R21" s="9" t="n"/>
    </row>
    <row r="22">
      <c r="A22" s="8" t="n">
        <v>21</v>
      </c>
      <c r="B22" s="8" t="inlineStr">
        <is>
          <t>wall_elbow_press_hold</t>
        </is>
      </c>
      <c r="C22" s="8" t="inlineStr">
        <is>
          <t>Wall elbow press hold</t>
        </is>
      </c>
      <c r="D22" s="8" t="inlineStr">
        <is>
          <t>Has video (woman + man)</t>
        </is>
      </c>
      <c r="E22" s="8" t="inlineStr">
        <is>
          <t>wall_elbow_press_hold.f.mp4</t>
        </is>
      </c>
      <c r="F22" s="8" t="inlineStr">
        <is>
          <t>wall_elbow_press_hold.m.mp4</t>
        </is>
      </c>
      <c r="G22" s="8" t="inlineStr">
        <is>
          <t>Rear shoulders (Deltoid · rear head): primary, 0.7
Upper back (Rhomboids and middle trapezius): secondary, 0.5
Traps (Trapezius): secondary, 0.3</t>
        </is>
      </c>
      <c r="H22" s="8" t="inlineStr">
        <is>
          <t>Bodyweight</t>
        </is>
      </c>
      <c r="I22" s="8" t="inlineStr">
        <is>
          <t>Home, Gym, Outdoors</t>
        </is>
      </c>
      <c r="J22" s="8" t="n">
        <v>1</v>
      </c>
      <c r="K22" s="8" t="inlineStr">
        <is>
          <t>9+ (kids)</t>
        </is>
      </c>
      <c r="L22" s="8" t="inlineStr">
        <is>
          <t>Standing, With support, Seated</t>
        </is>
      </c>
      <c r="M22" s="8" t="inlineStr">
        <is>
          <t>Recent surgery</t>
        </is>
      </c>
      <c r="N22" s="8" t="inlineStr">
        <is>
          <t>Back to a wall or chair back, elbows bent at your sides; press elbows back into it and hold.</t>
        </is>
      </c>
      <c r="O22" s="8" t="inlineStr">
        <is>
          <t>Main work</t>
        </is>
      </c>
      <c r="P22" s="8" t="inlineStr">
        <is>
          <t>Shoulder: Pull (hold, no movement)</t>
        </is>
      </c>
      <c r="Q22" s="9" t="n"/>
      <c r="R22" s="9" t="n"/>
    </row>
    <row r="23">
      <c r="A23" s="8" t="n">
        <v>22</v>
      </c>
      <c r="B23" s="8" t="inlineStr">
        <is>
          <t>towel_pull_apart_hold</t>
        </is>
      </c>
      <c r="C23" s="8" t="inlineStr">
        <is>
          <t>Towel pull-apart hold</t>
        </is>
      </c>
      <c r="D23" s="8" t="inlineStr">
        <is>
          <t>Has video (woman + man)</t>
        </is>
      </c>
      <c r="E23" s="8" t="inlineStr">
        <is>
          <t>towel_pull_apart_hold.f.mp4</t>
        </is>
      </c>
      <c r="F23" s="8" t="inlineStr">
        <is>
          <t>towel_pull_apart_hold.m.mp4</t>
        </is>
      </c>
      <c r="G23" s="8" t="inlineStr">
        <is>
          <t>Rear shoulders (Deltoid · rear head): primary, 0.7
Upper back (Rhomboids and middle trapezius): primary, 0.6
Traps (Trapezius): secondary, 0.3
Forearms (Wrist flexors and extensors): secondary, 0.3</t>
        </is>
      </c>
      <c r="H23" s="8" t="inlineStr">
        <is>
          <t>Bodyweight</t>
        </is>
      </c>
      <c r="I23" s="8" t="inlineStr">
        <is>
          <t>Home, Gym, Outdoors</t>
        </is>
      </c>
      <c r="J23" s="8" t="n">
        <v>1</v>
      </c>
      <c r="K23" s="8" t="inlineStr">
        <is>
          <t>9+ (kids)</t>
        </is>
      </c>
      <c r="L23" s="8" t="inlineStr">
        <is>
          <t>Standing, With support, Seated</t>
        </is>
      </c>
      <c r="M23" s="8" t="inlineStr">
        <is>
          <t>Recent surgery</t>
        </is>
      </c>
      <c r="N23" s="8" t="inlineStr">
        <is>
          <t>Hold a towel at chest height with straight arms and try to pull it apart; keep shoulders down.</t>
        </is>
      </c>
      <c r="O23" s="8" t="inlineStr">
        <is>
          <t>Main work</t>
        </is>
      </c>
      <c r="P23" s="8" t="inlineStr">
        <is>
          <t>Shoulder: Pull (hold, no movement)
Wrist: Grip tight (hold, no movement)</t>
        </is>
      </c>
      <c r="Q23" s="9" t="n"/>
      <c r="R23" s="9" t="n"/>
    </row>
    <row r="24">
      <c r="A24" s="8" t="n">
        <v>23</v>
      </c>
      <c r="B24" s="8" t="inlineStr">
        <is>
          <t>towel_curl</t>
        </is>
      </c>
      <c r="C24" s="8" t="inlineStr">
        <is>
          <t>Towel foot curl</t>
        </is>
      </c>
      <c r="D24" s="8" t="inlineStr">
        <is>
          <t>Has video (woman + man)</t>
        </is>
      </c>
      <c r="E24" s="8" t="inlineStr">
        <is>
          <t>towel_curl.f.mp4</t>
        </is>
      </c>
      <c r="F24" s="8" t="inlineStr">
        <is>
          <t>towel_curl.m.mp4</t>
        </is>
      </c>
      <c r="G24" s="8" t="inlineStr">
        <is>
          <t>Biceps (Biceps brachii): primary, 0.7
Forearms (Wrist flexors and extensors): secondary, 0.4</t>
        </is>
      </c>
      <c r="H24" s="8" t="inlineStr">
        <is>
          <t>Bodyweight</t>
        </is>
      </c>
      <c r="I24" s="8" t="inlineStr">
        <is>
          <t>Home, Gym, Outdoors</t>
        </is>
      </c>
      <c r="J24" s="8" t="n">
        <v>1</v>
      </c>
      <c r="K24" s="8" t="inlineStr">
        <is>
          <t>9+ (kids)</t>
        </is>
      </c>
      <c r="L24" s="8" t="inlineStr">
        <is>
          <t>Standing, With support, Seated</t>
        </is>
      </c>
      <c r="M24" s="8" t="inlineStr">
        <is>
          <t>Elbow / wrist, Recent surgery</t>
        </is>
      </c>
      <c r="N24" s="8" t="inlineStr">
        <is>
          <t>Sit, loop a towel under one foot and curl the ends up while that foot presses down to resist.</t>
        </is>
      </c>
      <c r="O24" s="8" t="inlineStr">
        <is>
          <t>Main work</t>
        </is>
      </c>
      <c r="P24" s="8" t="inlineStr">
        <is>
          <t>Elbow: Bend elbow with weight (full)
Wrist: Grip tight (full)</t>
        </is>
      </c>
      <c r="Q24" s="9" t="n"/>
      <c r="R24" s="9" t="n"/>
    </row>
    <row r="25">
      <c r="A25" s="8" t="n">
        <v>24</v>
      </c>
      <c r="B25" s="8" t="inlineStr">
        <is>
          <t>self_resisted_curl</t>
        </is>
      </c>
      <c r="C25" s="8" t="inlineStr">
        <is>
          <t>Self-resisted biceps curl</t>
        </is>
      </c>
      <c r="D25" s="8" t="inlineStr">
        <is>
          <t>Has video (woman + man)</t>
        </is>
      </c>
      <c r="E25" s="8" t="inlineStr">
        <is>
          <t>self_resisted_curl.f.mp4</t>
        </is>
      </c>
      <c r="F25" s="8" t="inlineStr">
        <is>
          <t>self_resisted_curl.m.mp4</t>
        </is>
      </c>
      <c r="G25" s="8" t="inlineStr">
        <is>
          <t>Biceps (Biceps brachii): primary, 0.6
Triceps (Triceps brachii): secondary, 0.3</t>
        </is>
      </c>
      <c r="H25" s="8" t="inlineStr">
        <is>
          <t>Bodyweight</t>
        </is>
      </c>
      <c r="I25" s="8" t="inlineStr">
        <is>
          <t>Home, Gym, Outdoors</t>
        </is>
      </c>
      <c r="J25" s="8" t="n">
        <v>1</v>
      </c>
      <c r="K25" s="8" t="inlineStr">
        <is>
          <t>9+ (kids)</t>
        </is>
      </c>
      <c r="L25" s="8" t="inlineStr">
        <is>
          <t>Standing, With support, Seated</t>
        </is>
      </c>
      <c r="M25" s="8" t="inlineStr">
        <is>
          <t>Elbow / wrist, Recent surgery</t>
        </is>
      </c>
      <c r="N25" s="8" t="inlineStr">
        <is>
          <t>Curl one arm up while the other hand presses down on the wrist to resist; move slowly, then switch.</t>
        </is>
      </c>
      <c r="O25" s="8" t="inlineStr">
        <is>
          <t>Main work</t>
        </is>
      </c>
      <c r="P25" s="8" t="inlineStr">
        <is>
          <t>Elbow: Bend elbow with weight (full)</t>
        </is>
      </c>
      <c r="Q25" s="9" t="n"/>
      <c r="R25" s="9" t="n"/>
    </row>
    <row r="26">
      <c r="A26" s="8" t="n">
        <v>25</v>
      </c>
      <c r="B26" s="8" t="inlineStr">
        <is>
          <t>under_table_curl_hold</t>
        </is>
      </c>
      <c r="C26" s="8" t="inlineStr">
        <is>
          <t>Under-table curl hold</t>
        </is>
      </c>
      <c r="D26" s="8" t="inlineStr">
        <is>
          <t>Has video (woman + man)</t>
        </is>
      </c>
      <c r="E26" s="8" t="inlineStr">
        <is>
          <t>under_table_curl_hold.f.mp4</t>
        </is>
      </c>
      <c r="F26" s="8" t="inlineStr">
        <is>
          <t>under_table_curl_hold.m.mp4</t>
        </is>
      </c>
      <c r="G26" s="8" t="inlineStr">
        <is>
          <t>Biceps (Biceps brachii): primary, 0.6
Forearms (Wrist flexors and extensors): secondary, 0.3</t>
        </is>
      </c>
      <c r="H26" s="8" t="inlineStr">
        <is>
          <t>Bodyweight</t>
        </is>
      </c>
      <c r="I26" s="8" t="inlineStr">
        <is>
          <t>Home, Gym, Outdoors</t>
        </is>
      </c>
      <c r="J26" s="8" t="n">
        <v>1</v>
      </c>
      <c r="K26" s="8" t="inlineStr">
        <is>
          <t>9+ (kids)</t>
        </is>
      </c>
      <c r="L26" s="8" t="inlineStr">
        <is>
          <t>Seated</t>
        </is>
      </c>
      <c r="M26" s="8" t="inlineStr">
        <is>
          <t>Elbow / wrist</t>
        </is>
      </c>
      <c r="N26" s="8" t="inlineStr">
        <is>
          <t>Sit at a sturdy table, palms up under its edge, elbows bent, and press up steadily without shrugging.</t>
        </is>
      </c>
      <c r="O26" s="8" t="inlineStr">
        <is>
          <t>Main work</t>
        </is>
      </c>
      <c r="P26" s="8" t="inlineStr">
        <is>
          <t>Elbow: Bend elbow with weight (hold, no movement)</t>
        </is>
      </c>
      <c r="Q26" s="9" t="n"/>
      <c r="R26" s="9" t="n"/>
    </row>
    <row r="27">
      <c r="A27" s="8" t="n">
        <v>26</v>
      </c>
      <c r="B27" s="8" t="inlineStr">
        <is>
          <t>towel_wring</t>
        </is>
      </c>
      <c r="C27" s="8" t="inlineStr">
        <is>
          <t>Towel wring</t>
        </is>
      </c>
      <c r="D27" s="8" t="inlineStr">
        <is>
          <t>Has video (woman + man)</t>
        </is>
      </c>
      <c r="E27" s="8" t="inlineStr">
        <is>
          <t>towel_wring.f.mp4</t>
        </is>
      </c>
      <c r="F27" s="8" t="inlineStr">
        <is>
          <t>towel_wring.m.mp4</t>
        </is>
      </c>
      <c r="G27" s="8" t="inlineStr">
        <is>
          <t>Forearms (Wrist flexors and extensors): primary, 0.9</t>
        </is>
      </c>
      <c r="H27" s="8" t="inlineStr">
        <is>
          <t>Bodyweight</t>
        </is>
      </c>
      <c r="I27" s="8" t="inlineStr">
        <is>
          <t>Home, Gym, Outdoors</t>
        </is>
      </c>
      <c r="J27" s="8" t="n">
        <v>1</v>
      </c>
      <c r="K27" s="8" t="inlineStr">
        <is>
          <t>9+ (kids)</t>
        </is>
      </c>
      <c r="L27" s="8" t="inlineStr">
        <is>
          <t>Standing, With support, Seated</t>
        </is>
      </c>
      <c r="M27" s="8" t="inlineStr">
        <is>
          <t>Elbow / wrist, Recent surgery</t>
        </is>
      </c>
      <c r="N27" s="8" t="inlineStr">
        <is>
          <t>Hold a rolled towel with both hands and twist it like wringing out water, then twist the other way.</t>
        </is>
      </c>
      <c r="O27" s="8" t="inlineStr">
        <is>
          <t>Main work</t>
        </is>
      </c>
      <c r="P27" s="8" t="inlineStr">
        <is>
          <t>Wrist: Twist the forearm (full)
Wrist: Grip tight (full)</t>
        </is>
      </c>
      <c r="Q27" s="9" t="n"/>
      <c r="R27" s="9" t="n"/>
    </row>
    <row r="28">
      <c r="A28" s="8" t="n">
        <v>27</v>
      </c>
      <c r="B28" s="8" t="inlineStr">
        <is>
          <t>self_resisted_wrist_extension</t>
        </is>
      </c>
      <c r="C28" s="8" t="inlineStr">
        <is>
          <t>Self-resisted wrist lift</t>
        </is>
      </c>
      <c r="D28" s="8" t="inlineStr">
        <is>
          <t>Has video (woman + man)</t>
        </is>
      </c>
      <c r="E28" s="8" t="inlineStr">
        <is>
          <t>self_resisted_wrist_extension.f.mp4</t>
        </is>
      </c>
      <c r="F28" s="8" t="inlineStr">
        <is>
          <t>self_resisted_wrist_extension.m.mp4</t>
        </is>
      </c>
      <c r="G28" s="8" t="inlineStr">
        <is>
          <t>Forearms (Wrist flexors and extensors): primary, 0.7</t>
        </is>
      </c>
      <c r="H28" s="8" t="inlineStr">
        <is>
          <t>Bodyweight</t>
        </is>
      </c>
      <c r="I28" s="8" t="inlineStr">
        <is>
          <t>Home, Gym, Outdoors</t>
        </is>
      </c>
      <c r="J28" s="8" t="n">
        <v>1</v>
      </c>
      <c r="K28" s="8" t="inlineStr">
        <is>
          <t>9+ (kids)</t>
        </is>
      </c>
      <c r="L28" s="8" t="inlineStr">
        <is>
          <t>Standing, With support, Seated</t>
        </is>
      </c>
      <c r="M28" s="8" t="inlineStr">
        <is>
          <t>Elbow / wrist, Recent surgery</t>
        </is>
      </c>
      <c r="N28" s="8" t="inlineStr">
        <is>
          <t>Forearm on your thigh, palm down; lift the back of the hand while the other hand gently resists.</t>
        </is>
      </c>
      <c r="O28" s="8" t="inlineStr">
        <is>
          <t>Main work</t>
        </is>
      </c>
      <c r="P28" s="8" t="inlineStr">
        <is>
          <t>Wrist: Weight on your hands (full)</t>
        </is>
      </c>
      <c r="Q28" s="9" t="n"/>
      <c r="R28" s="9" t="n"/>
    </row>
    <row r="29">
      <c r="A29" s="8" t="n">
        <v>28</v>
      </c>
      <c r="B29" s="8" t="inlineStr">
        <is>
          <t>self_resisted_wrist_flexion</t>
        </is>
      </c>
      <c r="C29" s="8" t="inlineStr">
        <is>
          <t>Self-resisted wrist curl</t>
        </is>
      </c>
      <c r="D29" s="8" t="inlineStr">
        <is>
          <t>Has video (woman + man)</t>
        </is>
      </c>
      <c r="E29" s="8" t="inlineStr">
        <is>
          <t>self_resisted_wrist_flexion.f.mp4</t>
        </is>
      </c>
      <c r="F29" s="8" t="inlineStr">
        <is>
          <t>self_resisted_wrist_flexion.m.mp4</t>
        </is>
      </c>
      <c r="G29" s="8" t="inlineStr">
        <is>
          <t>Forearms (Wrist flexors and extensors): primary, 0.7</t>
        </is>
      </c>
      <c r="H29" s="8" t="inlineStr">
        <is>
          <t>Bodyweight</t>
        </is>
      </c>
      <c r="I29" s="8" t="inlineStr">
        <is>
          <t>Home, Gym, Outdoors</t>
        </is>
      </c>
      <c r="J29" s="8" t="n">
        <v>1</v>
      </c>
      <c r="K29" s="8" t="inlineStr">
        <is>
          <t>9+ (kids)</t>
        </is>
      </c>
      <c r="L29" s="8" t="inlineStr">
        <is>
          <t>Standing, With support, Seated</t>
        </is>
      </c>
      <c r="M29" s="8" t="inlineStr">
        <is>
          <t>Elbow / wrist, Recent surgery</t>
        </is>
      </c>
      <c r="N29" s="8" t="inlineStr">
        <is>
          <t>Forearm on your thigh, palm up; curl the hand up while the other hand gently presses it down.</t>
        </is>
      </c>
      <c r="O29" s="8" t="inlineStr">
        <is>
          <t>Main work</t>
        </is>
      </c>
      <c r="P29" s="8" t="inlineStr">
        <is>
          <t>Wrist: Bend wrist down (full)</t>
        </is>
      </c>
      <c r="Q29" s="9" t="n"/>
      <c r="R29" s="9" t="n"/>
    </row>
    <row r="30">
      <c r="A30" s="8" t="n">
        <v>29</v>
      </c>
      <c r="B30" s="8" t="inlineStr">
        <is>
          <t>fist_squeeze_hold</t>
        </is>
      </c>
      <c r="C30" s="8" t="inlineStr">
        <is>
          <t>Fist squeeze hold</t>
        </is>
      </c>
      <c r="D30" s="8" t="inlineStr">
        <is>
          <t>Has video (woman + man)</t>
        </is>
      </c>
      <c r="E30" s="8" t="inlineStr">
        <is>
          <t>fist_squeeze_hold.f.mp4</t>
        </is>
      </c>
      <c r="F30" s="8" t="inlineStr">
        <is>
          <t>fist_squeeze_hold.m.mp4</t>
        </is>
      </c>
      <c r="G30" s="8" t="inlineStr">
        <is>
          <t>Forearms (Wrist flexors and extensors): primary, 0.7</t>
        </is>
      </c>
      <c r="H30" s="8" t="inlineStr">
        <is>
          <t>Bodyweight</t>
        </is>
      </c>
      <c r="I30" s="8" t="inlineStr">
        <is>
          <t>Home, Gym, Outdoors</t>
        </is>
      </c>
      <c r="J30" s="8" t="n">
        <v>1</v>
      </c>
      <c r="K30" s="8" t="inlineStr">
        <is>
          <t>9+ (kids)</t>
        </is>
      </c>
      <c r="L30" s="8" t="inlineStr">
        <is>
          <t>Standing, With support, Seated</t>
        </is>
      </c>
      <c r="M30" s="8" t="inlineStr">
        <is>
          <t>Elbow / wrist</t>
        </is>
      </c>
      <c r="N30" s="8" t="inlineStr">
        <is>
          <t>Make tight fists, or squeeze a rolled sock, and hold the squeeze while breathing steadily.</t>
        </is>
      </c>
      <c r="O30" s="8" t="inlineStr">
        <is>
          <t>Main work</t>
        </is>
      </c>
      <c r="P30" s="8" t="inlineStr">
        <is>
          <t>Wrist: Grip tight (hold, no movement)</t>
        </is>
      </c>
      <c r="Q30" s="9" t="n"/>
      <c r="R30" s="9" t="n"/>
    </row>
    <row r="31">
      <c r="A31" s="8" t="n">
        <v>30</v>
      </c>
      <c r="B31" s="8" t="inlineStr">
        <is>
          <t>front_arm_hold</t>
        </is>
      </c>
      <c r="C31" s="8" t="inlineStr">
        <is>
          <t>Front arm hold</t>
        </is>
      </c>
      <c r="D31" s="8" t="inlineStr">
        <is>
          <t>Has video (woman + man)</t>
        </is>
      </c>
      <c r="E31" s="8" t="inlineStr">
        <is>
          <t>front_arm_hold.f.mp4</t>
        </is>
      </c>
      <c r="F31" s="8" t="inlineStr">
        <is>
          <t>front_arm_hold.m.mp4</t>
        </is>
      </c>
      <c r="G31" s="8" t="inlineStr">
        <is>
          <t>Front shoulders (Deltoid · front head): primary, 0.7
Upper chest (Pectoralis major · clavicular head): secondary, 0.3</t>
        </is>
      </c>
      <c r="H31" s="8" t="inlineStr">
        <is>
          <t>Bodyweight</t>
        </is>
      </c>
      <c r="I31" s="8" t="inlineStr">
        <is>
          <t>Home, Gym, Outdoors</t>
        </is>
      </c>
      <c r="J31" s="8" t="n">
        <v>1</v>
      </c>
      <c r="K31" s="8" t="inlineStr">
        <is>
          <t>9+ (kids)</t>
        </is>
      </c>
      <c r="L31" s="8" t="inlineStr">
        <is>
          <t>Standing, With support, Seated</t>
        </is>
      </c>
      <c r="M31" s="8" t="inlineStr">
        <is>
          <t>Shoulder</t>
        </is>
      </c>
      <c r="N31" s="8" t="inlineStr">
        <is>
          <t>Raise both arms straight in front to shoulder height, thumbs up, and hold them still while breathing.</t>
        </is>
      </c>
      <c r="O31" s="8" t="inlineStr">
        <is>
          <t>Main work</t>
        </is>
      </c>
      <c r="P31" s="8" t="inlineStr">
        <is>
          <t>Shoulder: Raise arm in front (hold, no movement)</t>
        </is>
      </c>
      <c r="Q31" s="9" t="n"/>
      <c r="R31" s="9" t="n"/>
    </row>
    <row r="32">
      <c r="A32" s="8" t="n">
        <v>31</v>
      </c>
      <c r="B32" s="8" t="inlineStr">
        <is>
          <t>seated_scapular_dip</t>
        </is>
      </c>
      <c r="C32" s="8" t="inlineStr">
        <is>
          <t>Seated shoulder blade dip</t>
        </is>
      </c>
      <c r="D32" s="8" t="inlineStr">
        <is>
          <t>Has video (woman + man)</t>
        </is>
      </c>
      <c r="E32" s="8" t="inlineStr">
        <is>
          <t>seated_scapular_dip.f.mp4</t>
        </is>
      </c>
      <c r="F32" s="8" t="inlineStr">
        <is>
          <t>seated_scapular_dip.m.mp4</t>
        </is>
      </c>
      <c r="G32" s="8" t="inlineStr">
        <is>
          <t>Traps (Trapezius): primary, 0.7
Lats (Latissimus dorsi): secondary, 0.4
Triceps (Triceps brachii): secondary, 0.3</t>
        </is>
      </c>
      <c r="H32" s="8" t="inlineStr">
        <is>
          <t>Bodyweight</t>
        </is>
      </c>
      <c r="I32" s="8" t="inlineStr">
        <is>
          <t>Home, Gym, Outdoors</t>
        </is>
      </c>
      <c r="J32" s="8" t="n">
        <v>1</v>
      </c>
      <c r="K32" s="8" t="inlineStr">
        <is>
          <t>9+ (kids)</t>
        </is>
      </c>
      <c r="L32" s="8" t="inlineStr">
        <is>
          <t>Standing, With support, Seated</t>
        </is>
      </c>
      <c r="M32" s="8" t="inlineStr">
        <is>
          <t>Shoulder, Elbow / wrist, Recent surgery</t>
        </is>
      </c>
      <c r="N32" s="8" t="inlineStr">
        <is>
          <t>Hands on sturdy armrests, arms straight; push your shoulders down away from your ears, then let them rise.</t>
        </is>
      </c>
      <c r="O32" s="8" t="inlineStr">
        <is>
          <t>Main work</t>
        </is>
      </c>
      <c r="P32" s="8" t="inlineStr">
        <is>
          <t>Shoulder: Push (partial)
Wrist: Weight on your hands (partial)</t>
        </is>
      </c>
      <c r="Q32" s="9" t="n"/>
      <c r="R32" s="9" t="n"/>
    </row>
    <row r="33">
      <c r="A33" s="8" t="n">
        <v>32</v>
      </c>
      <c r="B33" s="8" t="inlineStr">
        <is>
          <t>doorframe_grip_hold</t>
        </is>
      </c>
      <c r="C33" s="8" t="inlineStr">
        <is>
          <t>Doorframe grip hold</t>
        </is>
      </c>
      <c r="D33" s="8" t="inlineStr">
        <is>
          <t>Has video (woman + man)</t>
        </is>
      </c>
      <c r="E33" s="8" t="inlineStr">
        <is>
          <t>doorframe_grip_hold.f.mp4</t>
        </is>
      </c>
      <c r="F33" s="8" t="inlineStr">
        <is>
          <t>doorframe_grip_hold.m.mp4</t>
        </is>
      </c>
      <c r="G33" s="8" t="inlineStr">
        <is>
          <t>Forearms (Wrist flexors and extensors): primary, 0.8
Biceps (Biceps brachii): secondary, 0.3
Upper back (Rhomboids and middle trapezius): secondary, 0.3</t>
        </is>
      </c>
      <c r="H33" s="8" t="inlineStr">
        <is>
          <t>Bodyweight</t>
        </is>
      </c>
      <c r="I33" s="8" t="inlineStr">
        <is>
          <t>Home, Gym, Outdoors</t>
        </is>
      </c>
      <c r="J33" s="8" t="n">
        <v>1</v>
      </c>
      <c r="K33" s="8" t="inlineStr">
        <is>
          <t>9+ (kids)</t>
        </is>
      </c>
      <c r="L33" s="8" t="inlineStr">
        <is>
          <t>Standing, With support</t>
        </is>
      </c>
      <c r="M33" s="8" t="inlineStr">
        <is>
          <t>Elbow / wrist</t>
        </is>
      </c>
      <c r="N33" s="8" t="inlineStr">
        <is>
          <t>Grip the edge of a sturdy doorframe with both hands, lean back slightly and hold with a firm grip.</t>
        </is>
      </c>
      <c r="O33" s="8" t="inlineStr">
        <is>
          <t>Main work</t>
        </is>
      </c>
      <c r="P33" s="8" t="inlineStr">
        <is>
          <t>Wrist: Grip tight (hold, no movement)
Shoulder: Pull (hold, no movement)</t>
        </is>
      </c>
      <c r="Q33" s="9" t="n"/>
      <c r="R33" s="9" t="n"/>
    </row>
    <row r="34">
      <c r="A34" s="8" t="n">
        <v>33</v>
      </c>
      <c r="B34" s="8" t="inlineStr">
        <is>
          <t>seated_low_to_high_band_fly</t>
        </is>
      </c>
      <c r="C34" s="8" t="inlineStr">
        <is>
          <t>Seated low-to-high band fly</t>
        </is>
      </c>
      <c r="D34" s="8" t="inlineStr">
        <is>
          <t>Has video (woman + man)</t>
        </is>
      </c>
      <c r="E34" s="8" t="inlineStr">
        <is>
          <t>seated_low_to_high_band_fly.f.mp4</t>
        </is>
      </c>
      <c r="F34" s="8" t="inlineStr">
        <is>
          <t>seated_low_to_high_band_fly.m.mp4</t>
        </is>
      </c>
      <c r="G34" s="8" t="inlineStr">
        <is>
          <t>Upper chest (Pectoralis major · clavicular head): primary, 0.9
Front shoulders (Deltoid · front head): secondary, 0.4</t>
        </is>
      </c>
      <c r="H34" s="8" t="inlineStr">
        <is>
          <t>Long resistance bands</t>
        </is>
      </c>
      <c r="I34" s="8" t="inlineStr">
        <is>
          <t>Home, Gym, Outdoors</t>
        </is>
      </c>
      <c r="J34" s="8" t="n">
        <v>1</v>
      </c>
      <c r="K34" s="8" t="inlineStr">
        <is>
          <t>9+ (kids)</t>
        </is>
      </c>
      <c r="L34" s="8" t="inlineStr">
        <is>
          <t>Seated</t>
        </is>
      </c>
      <c r="M34" s="8" t="inlineStr">
        <is>
          <t>Shoulder, Recent surgery</t>
        </is>
      </c>
      <c r="N34" s="8" t="inlineStr">
        <is>
          <t>Sit tall with the band under the chair legs and sweep your hands up and together in front of your face.</t>
        </is>
      </c>
      <c r="O34" s="8" t="inlineStr">
        <is>
          <t>Main work</t>
        </is>
      </c>
      <c r="P34" s="8" t="inlineStr">
        <is>
          <t>Shoulder: Raise arm in front (full)
Shoulder: Push (partial)
Wrist: Grip tight (partial)</t>
        </is>
      </c>
      <c r="Q34" s="9" t="n"/>
      <c r="R34" s="9" t="n"/>
    </row>
    <row r="35">
      <c r="A35" s="8" t="n">
        <v>34</v>
      </c>
      <c r="B35" s="8" t="inlineStr">
        <is>
          <t>band_incline_press</t>
        </is>
      </c>
      <c r="C35" s="8" t="inlineStr">
        <is>
          <t>Band incline press</t>
        </is>
      </c>
      <c r="D35" s="8" t="inlineStr">
        <is>
          <t>Has video (woman + man)</t>
        </is>
      </c>
      <c r="E35" s="8" t="inlineStr">
        <is>
          <t>band_incline_press.f.mp4</t>
        </is>
      </c>
      <c r="F35" s="8" t="inlineStr">
        <is>
          <t>band_incline_press.m.mp4</t>
        </is>
      </c>
      <c r="G35" s="8" t="inlineStr">
        <is>
          <t>Upper chest (Pectoralis major · clavicular head): primary, 1.0
Triceps (Triceps brachii): secondary, 0.5
Front shoulders (Deltoid · front head): secondary, 0.4</t>
        </is>
      </c>
      <c r="H35" s="8" t="inlineStr">
        <is>
          <t>Long resistance bands</t>
        </is>
      </c>
      <c r="I35" s="8" t="inlineStr">
        <is>
          <t>Home, Gym, Outdoors</t>
        </is>
      </c>
      <c r="J35" s="8" t="n">
        <v>1</v>
      </c>
      <c r="K35" s="8" t="inlineStr">
        <is>
          <t>9+ (kids)</t>
        </is>
      </c>
      <c r="L35" s="8" t="inlineStr">
        <is>
          <t>Standing, With support</t>
        </is>
      </c>
      <c r="M35" s="8" t="inlineStr">
        <is>
          <t>Shoulder, Recent surgery</t>
        </is>
      </c>
      <c r="N35" s="8" t="inlineStr">
        <is>
          <t>Anchor the band low behind you and press your hands forward and up to eye level, then return slowly.</t>
        </is>
      </c>
      <c r="O35" s="8" t="inlineStr">
        <is>
          <t>Main work</t>
        </is>
      </c>
      <c r="P35" s="8" t="inlineStr">
        <is>
          <t>Shoulder: Push (full)
Shoulder: Raise arm in front (partial)
Elbow: Straighten elbow with weight (full)
Wrist: Grip tight (partial)</t>
        </is>
      </c>
      <c r="Q35" s="9" t="n"/>
      <c r="R35" s="9" t="n"/>
    </row>
    <row r="36">
      <c r="A36" s="8" t="n">
        <v>35</v>
      </c>
      <c r="B36" s="8" t="inlineStr">
        <is>
          <t>seated_band_chest_press</t>
        </is>
      </c>
      <c r="C36" s="8" t="inlineStr">
        <is>
          <t>Seated band chest press</t>
        </is>
      </c>
      <c r="D36" s="8" t="inlineStr">
        <is>
          <t>Has video (woman + man)</t>
        </is>
      </c>
      <c r="E36" s="8" t="inlineStr">
        <is>
          <t>seated_band_chest_press.f.mp4</t>
        </is>
      </c>
      <c r="F36" s="8" t="inlineStr">
        <is>
          <t>seated_band_chest_press.m.mp4</t>
        </is>
      </c>
      <c r="G36" s="8" t="inlineStr">
        <is>
          <t>Mid chest (Pectoralis major · sternal head): primary, 0.9
Triceps (Triceps brachii): secondary, 0.5
Front shoulders (Deltoid · front head): secondary, 0.4</t>
        </is>
      </c>
      <c r="H36" s="8" t="inlineStr">
        <is>
          <t>Long resistance bands</t>
        </is>
      </c>
      <c r="I36" s="8" t="inlineStr">
        <is>
          <t>Home, Gym, Outdoors</t>
        </is>
      </c>
      <c r="J36" s="8" t="n">
        <v>1</v>
      </c>
      <c r="K36" s="8" t="inlineStr">
        <is>
          <t>9+ (kids)</t>
        </is>
      </c>
      <c r="L36" s="8" t="inlineStr">
        <is>
          <t>Seated</t>
        </is>
      </c>
      <c r="M36" s="8" t="inlineStr">
        <is>
          <t>Shoulder, Recent surgery</t>
        </is>
      </c>
      <c r="N36" s="8" t="inlineStr">
        <is>
          <t>Sit tall, band wrapped around the chair back, and press both hands forward at chest height.</t>
        </is>
      </c>
      <c r="O36" s="8" t="inlineStr">
        <is>
          <t>Main work</t>
        </is>
      </c>
      <c r="P36" s="8" t="inlineStr">
        <is>
          <t>Shoulder: Push (full)
Elbow: Straighten elbow with weight (full)
Wrist: Grip tight (partial)</t>
        </is>
      </c>
      <c r="Q36" s="9" t="n"/>
      <c r="R36" s="9" t="n"/>
    </row>
    <row r="37">
      <c r="A37" s="8" t="n">
        <v>36</v>
      </c>
      <c r="B37" s="8" t="inlineStr">
        <is>
          <t>band_decline_press</t>
        </is>
      </c>
      <c r="C37" s="8" t="inlineStr">
        <is>
          <t>Band decline press</t>
        </is>
      </c>
      <c r="D37" s="8" t="inlineStr">
        <is>
          <t>Has video (woman + man)</t>
        </is>
      </c>
      <c r="E37" s="8" t="inlineStr">
        <is>
          <t>band_decline_press.f.mp4</t>
        </is>
      </c>
      <c r="F37" s="8" t="inlineStr">
        <is>
          <t>band_decline_press.m.mp4</t>
        </is>
      </c>
      <c r="G37" s="8" t="inlineStr">
        <is>
          <t>Lower chest (Pectoralis major · lower fibers): primary, 1.0
Triceps (Triceps brachii): secondary, 0.5</t>
        </is>
      </c>
      <c r="H37" s="8" t="inlineStr">
        <is>
          <t>Long resistance bands</t>
        </is>
      </c>
      <c r="I37" s="8" t="inlineStr">
        <is>
          <t>Home, Gym, Outdoors</t>
        </is>
      </c>
      <c r="J37" s="8" t="n">
        <v>1</v>
      </c>
      <c r="K37" s="8" t="inlineStr">
        <is>
          <t>9+ (kids)</t>
        </is>
      </c>
      <c r="L37" s="8" t="inlineStr">
        <is>
          <t>Standing, With support</t>
        </is>
      </c>
      <c r="M37" s="8" t="inlineStr">
        <is>
          <t>Shoulder, Recent surgery</t>
        </is>
      </c>
      <c r="N37" s="8" t="inlineStr">
        <is>
          <t>Anchor the band high behind you and press your hands forward and down to belly height, then return.</t>
        </is>
      </c>
      <c r="O37" s="8" t="inlineStr">
        <is>
          <t>Main work</t>
        </is>
      </c>
      <c r="P37" s="8" t="inlineStr">
        <is>
          <t>Shoulder: Push (full)
Elbow: Straighten elbow with weight (full)
Wrist: Grip tight (partial)</t>
        </is>
      </c>
      <c r="Q37" s="9" t="n"/>
      <c r="R37" s="9" t="n"/>
    </row>
    <row r="38">
      <c r="A38" s="8" t="n">
        <v>37</v>
      </c>
      <c r="B38" s="8" t="inlineStr">
        <is>
          <t>band_overhead_press</t>
        </is>
      </c>
      <c r="C38" s="8" t="inlineStr">
        <is>
          <t>Band overhead press</t>
        </is>
      </c>
      <c r="D38" s="8" t="inlineStr">
        <is>
          <t>Has video (woman + man)</t>
        </is>
      </c>
      <c r="E38" s="8" t="inlineStr">
        <is>
          <t>band_overhead_press.f.mp4</t>
        </is>
      </c>
      <c r="F38" s="8" t="inlineStr">
        <is>
          <t>band_overhead_press.m.mp4</t>
        </is>
      </c>
      <c r="G38" s="8" t="inlineStr">
        <is>
          <t>Front shoulders (Deltoid · front head): primary, 1.0
Triceps (Triceps brachii): secondary, 0.5
Traps (Trapezius): secondary, 0.3</t>
        </is>
      </c>
      <c r="H38" s="8" t="inlineStr">
        <is>
          <t>Long resistance bands</t>
        </is>
      </c>
      <c r="I38" s="8" t="inlineStr">
        <is>
          <t>Home, Gym, Outdoors</t>
        </is>
      </c>
      <c r="J38" s="8" t="n">
        <v>2</v>
      </c>
      <c r="K38" s="8" t="inlineStr">
        <is>
          <t>13+ (teens)</t>
        </is>
      </c>
      <c r="L38" s="8" t="inlineStr">
        <is>
          <t>Standing, With support, Seated</t>
        </is>
      </c>
      <c r="M38" s="8" t="inlineStr">
        <is>
          <t>Shoulder, Neck, Recent surgery</t>
        </is>
      </c>
      <c r="N38" s="8" t="inlineStr">
        <is>
          <t>Stand or sit on the band, hands at shoulders, and press straight up without arching your lower back.</t>
        </is>
      </c>
      <c r="O38" s="8" t="inlineStr">
        <is>
          <t>Main work</t>
        </is>
      </c>
      <c r="P38" s="8" t="inlineStr">
        <is>
          <t>Shoulder: Arm overhead (full)
Shoulder: Raise arm to the side (full)
Shoulder: Push (full)
Elbow: Straighten elbow with weight (full)
Wrist: Grip tight (partial)</t>
        </is>
      </c>
      <c r="Q38" s="9" t="n"/>
      <c r="R38" s="9" t="n"/>
    </row>
    <row r="39">
      <c r="A39" s="8" t="n">
        <v>38</v>
      </c>
      <c r="B39" s="8" t="inlineStr">
        <is>
          <t>band_y_raise</t>
        </is>
      </c>
      <c r="C39" s="8" t="inlineStr">
        <is>
          <t>Band Y raise</t>
        </is>
      </c>
      <c r="D39" s="8" t="inlineStr">
        <is>
          <t>Has video (woman + man)</t>
        </is>
      </c>
      <c r="E39" s="8" t="inlineStr">
        <is>
          <t>band_y_raise.f.mp4</t>
        </is>
      </c>
      <c r="F39" s="8" t="inlineStr">
        <is>
          <t>band_y_raise.m.mp4</t>
        </is>
      </c>
      <c r="G39" s="8" t="inlineStr">
        <is>
          <t>Traps (Trapezius): primary, 0.8
Front shoulders (Deltoid · front head): secondary, 0.4
Rear shoulders (Deltoid · rear head): secondary, 0.4</t>
        </is>
      </c>
      <c r="H39" s="8" t="inlineStr">
        <is>
          <t>Long resistance bands</t>
        </is>
      </c>
      <c r="I39" s="8" t="inlineStr">
        <is>
          <t>Home, Gym, Outdoors</t>
        </is>
      </c>
      <c r="J39" s="8" t="n">
        <v>1</v>
      </c>
      <c r="K39" s="8" t="inlineStr">
        <is>
          <t>9+ (kids)</t>
        </is>
      </c>
      <c r="L39" s="8" t="inlineStr">
        <is>
          <t>Standing, With support</t>
        </is>
      </c>
      <c r="M39" s="8" t="inlineStr">
        <is>
          <t>Shoulder, Recent surgery</t>
        </is>
      </c>
      <c r="N39" s="8" t="inlineStr">
        <is>
          <t>Stand on the band, thumbs up, and raise your arms forward and out into a Y, stopping before any pinch.</t>
        </is>
      </c>
      <c r="O39" s="8" t="inlineStr">
        <is>
          <t>Main work</t>
        </is>
      </c>
      <c r="P39" s="8" t="inlineStr">
        <is>
          <t>Shoulder: Raise arm in front (full)
Shoulder: Arm overhead (partial)
Wrist: Grip tight (partial)</t>
        </is>
      </c>
      <c r="Q39" s="9" t="n"/>
      <c r="R39" s="9" t="n"/>
    </row>
    <row r="40">
      <c r="A40" s="8" t="n">
        <v>39</v>
      </c>
      <c r="B40" s="8" t="inlineStr">
        <is>
          <t>band_hammer_curl</t>
        </is>
      </c>
      <c r="C40" s="8" t="inlineStr">
        <is>
          <t>Band hammer curl</t>
        </is>
      </c>
      <c r="D40" s="8" t="inlineStr">
        <is>
          <t>Has video (woman + man)</t>
        </is>
      </c>
      <c r="E40" s="8" t="inlineStr">
        <is>
          <t>band_hammer_curl.f.mp4</t>
        </is>
      </c>
      <c r="F40" s="8" t="inlineStr">
        <is>
          <t>band_hammer_curl.m.mp4</t>
        </is>
      </c>
      <c r="G40" s="8" t="inlineStr">
        <is>
          <t>Biceps (Biceps brachii): primary, 0.8
Forearms (Wrist flexors and extensors): primary, 0.7</t>
        </is>
      </c>
      <c r="H40" s="8" t="inlineStr">
        <is>
          <t>Long resistance bands</t>
        </is>
      </c>
      <c r="I40" s="8" t="inlineStr">
        <is>
          <t>Home, Gym, Outdoors</t>
        </is>
      </c>
      <c r="J40" s="8" t="n">
        <v>1</v>
      </c>
      <c r="K40" s="8" t="inlineStr">
        <is>
          <t>9+ (kids)</t>
        </is>
      </c>
      <c r="L40" s="8" t="inlineStr">
        <is>
          <t>Standing, With support, Seated</t>
        </is>
      </c>
      <c r="M40" s="8" t="inlineStr">
        <is>
          <t>Elbow / wrist, Recent surgery</t>
        </is>
      </c>
      <c r="N40" s="8" t="inlineStr">
        <is>
          <t>Stand on the band, palms facing each other, and curl up keeping elbows at your sides.</t>
        </is>
      </c>
      <c r="O40" s="8" t="inlineStr">
        <is>
          <t>Main work</t>
        </is>
      </c>
      <c r="P40" s="8" t="inlineStr">
        <is>
          <t>Elbow: Bend elbow with weight (full)
Wrist: Grip tight (full)</t>
        </is>
      </c>
      <c r="Q40" s="9" t="n"/>
      <c r="R40" s="9" t="n"/>
    </row>
    <row r="41">
      <c r="A41" s="8" t="n">
        <v>40</v>
      </c>
      <c r="B41" s="8" t="inlineStr">
        <is>
          <t>seated_band_curl</t>
        </is>
      </c>
      <c r="C41" s="8" t="inlineStr">
        <is>
          <t>Seated band curl</t>
        </is>
      </c>
      <c r="D41" s="8" t="inlineStr">
        <is>
          <t>Has video (woman + man)</t>
        </is>
      </c>
      <c r="E41" s="8" t="inlineStr">
        <is>
          <t>seated_band_curl.f.mp4</t>
        </is>
      </c>
      <c r="F41" s="8" t="inlineStr">
        <is>
          <t>seated_band_curl.m.mp4</t>
        </is>
      </c>
      <c r="G41" s="8" t="inlineStr">
        <is>
          <t>Biceps (Biceps brachii): primary, 0.9
Forearms (Wrist flexors and extensors): secondary, 0.3</t>
        </is>
      </c>
      <c r="H41" s="8" t="inlineStr">
        <is>
          <t>Long resistance bands</t>
        </is>
      </c>
      <c r="I41" s="8" t="inlineStr">
        <is>
          <t>Home, Gym, Outdoors</t>
        </is>
      </c>
      <c r="J41" s="8" t="n">
        <v>1</v>
      </c>
      <c r="K41" s="8" t="inlineStr">
        <is>
          <t>9+ (kids)</t>
        </is>
      </c>
      <c r="L41" s="8" t="inlineStr">
        <is>
          <t>Seated</t>
        </is>
      </c>
      <c r="M41" s="8" t="inlineStr">
        <is>
          <t>Elbow / wrist, Recent surgery</t>
        </is>
      </c>
      <c r="N41" s="8" t="inlineStr">
        <is>
          <t>Sit tall with the band under your feet and curl your hands to your shoulders, elbows still.</t>
        </is>
      </c>
      <c r="O41" s="8" t="inlineStr">
        <is>
          <t>Main work</t>
        </is>
      </c>
      <c r="P41" s="8" t="inlineStr">
        <is>
          <t>Elbow: Bend elbow with weight (full)
Wrist: Grip tight (partial)</t>
        </is>
      </c>
      <c r="Q41" s="9" t="n"/>
      <c r="R41" s="9" t="n"/>
    </row>
    <row r="42">
      <c r="A42" s="8" t="n">
        <v>41</v>
      </c>
      <c r="B42" s="8" t="inlineStr">
        <is>
          <t>band_concentration_curl</t>
        </is>
      </c>
      <c r="C42" s="8" t="inlineStr">
        <is>
          <t>Band concentration curl</t>
        </is>
      </c>
      <c r="D42" s="8" t="inlineStr">
        <is>
          <t>Has video (woman + man)</t>
        </is>
      </c>
      <c r="E42" s="8" t="inlineStr">
        <is>
          <t>band_concentration_curl.f.mp4</t>
        </is>
      </c>
      <c r="F42" s="8" t="inlineStr">
        <is>
          <t>band_concentration_curl.m.mp4</t>
        </is>
      </c>
      <c r="G42" s="8" t="inlineStr">
        <is>
          <t>Biceps (Biceps brachii): primary, 1.0
Forearms (Wrist flexors and extensors): secondary, 0.3</t>
        </is>
      </c>
      <c r="H42" s="8" t="inlineStr">
        <is>
          <t>Long resistance bands</t>
        </is>
      </c>
      <c r="I42" s="8" t="inlineStr">
        <is>
          <t>Home, Gym, Outdoors</t>
        </is>
      </c>
      <c r="J42" s="8" t="n">
        <v>1</v>
      </c>
      <c r="K42" s="8" t="inlineStr">
        <is>
          <t>9+ (kids)</t>
        </is>
      </c>
      <c r="L42" s="8" t="inlineStr">
        <is>
          <t>Seated</t>
        </is>
      </c>
      <c r="M42" s="8" t="inlineStr">
        <is>
          <t>Elbow / wrist, Recent surgery</t>
        </is>
      </c>
      <c r="N42" s="8" t="inlineStr">
        <is>
          <t>Sit, band under one foot, elbow resting inside that thigh, and curl slowly up and down; switch sides.</t>
        </is>
      </c>
      <c r="O42" s="8" t="inlineStr">
        <is>
          <t>Main work</t>
        </is>
      </c>
      <c r="P42" s="8" t="inlineStr">
        <is>
          <t>Elbow: Bend elbow with weight (full)
Wrist: Grip tight (partial)</t>
        </is>
      </c>
      <c r="Q42" s="9" t="n"/>
      <c r="R42" s="9" t="n"/>
    </row>
    <row r="43">
      <c r="A43" s="8" t="n">
        <v>42</v>
      </c>
      <c r="B43" s="8" t="inlineStr">
        <is>
          <t>band_reverse_curl</t>
        </is>
      </c>
      <c r="C43" s="8" t="inlineStr">
        <is>
          <t>Band reverse curl</t>
        </is>
      </c>
      <c r="D43" s="8" t="inlineStr">
        <is>
          <t>Has video (woman + man)</t>
        </is>
      </c>
      <c r="E43" s="8" t="inlineStr">
        <is>
          <t>band_reverse_curl.f.mp4</t>
        </is>
      </c>
      <c r="F43" s="8" t="inlineStr">
        <is>
          <t>band_reverse_curl.m.mp4</t>
        </is>
      </c>
      <c r="G43" s="8" t="inlineStr">
        <is>
          <t>Forearms (Wrist flexors and extensors): primary, 0.8
Biceps (Biceps brachii): primary, 0.6</t>
        </is>
      </c>
      <c r="H43" s="8" t="inlineStr">
        <is>
          <t>Long resistance bands</t>
        </is>
      </c>
      <c r="I43" s="8" t="inlineStr">
        <is>
          <t>Home, Gym, Outdoors</t>
        </is>
      </c>
      <c r="J43" s="8" t="n">
        <v>1</v>
      </c>
      <c r="K43" s="8" t="inlineStr">
        <is>
          <t>9+ (kids)</t>
        </is>
      </c>
      <c r="L43" s="8" t="inlineStr">
        <is>
          <t>Standing, With support, Seated</t>
        </is>
      </c>
      <c r="M43" s="8" t="inlineStr">
        <is>
          <t>Elbow / wrist, Recent surgery</t>
        </is>
      </c>
      <c r="N43" s="8" t="inlineStr">
        <is>
          <t>Stand on the band, palms down, and curl up with straight wrists, keeping elbows by your sides.</t>
        </is>
      </c>
      <c r="O43" s="8" t="inlineStr">
        <is>
          <t>Main work</t>
        </is>
      </c>
      <c r="P43" s="8" t="inlineStr">
        <is>
          <t>Elbow: Bend elbow with weight (full)
Wrist: Weight on your hands (hold, no movement)
Wrist: Grip tight (partial)</t>
        </is>
      </c>
      <c r="Q43" s="9" t="n"/>
      <c r="R43" s="9" t="n"/>
    </row>
    <row r="44">
      <c r="A44" s="8" t="n">
        <v>43</v>
      </c>
      <c r="B44" s="8" t="inlineStr">
        <is>
          <t>dumbbell_hammer_curl</t>
        </is>
      </c>
      <c r="C44" s="8" t="inlineStr">
        <is>
          <t>Dumbbell hammer curl</t>
        </is>
      </c>
      <c r="D44" s="8" t="inlineStr">
        <is>
          <t>Has video (woman + man)</t>
        </is>
      </c>
      <c r="E44" s="8" t="inlineStr">
        <is>
          <t>dumbbell_hammer_curl.f.mp4</t>
        </is>
      </c>
      <c r="F44" s="8" t="inlineStr">
        <is>
          <t>dumbbell_hammer_curl.m.mp4</t>
        </is>
      </c>
      <c r="G44" s="8" t="inlineStr">
        <is>
          <t>Biceps (Biceps brachii): primary, 0.8
Forearms (Wrist flexors and extensors): primary, 0.7</t>
        </is>
      </c>
      <c r="H44" s="8" t="inlineStr">
        <is>
          <t>Dumbbells</t>
        </is>
      </c>
      <c r="I44" s="8" t="inlineStr">
        <is>
          <t>Home, Gym</t>
        </is>
      </c>
      <c r="J44" s="8" t="n">
        <v>1</v>
      </c>
      <c r="K44" s="8" t="inlineStr">
        <is>
          <t>13+ (teens)</t>
        </is>
      </c>
      <c r="L44" s="8" t="inlineStr">
        <is>
          <t>Standing, Seated</t>
        </is>
      </c>
      <c r="M44" s="8" t="inlineStr">
        <is>
          <t>Elbow / wrist, Recent surgery</t>
        </is>
      </c>
      <c r="N44" s="8" t="inlineStr">
        <is>
          <t>Palms facing each other, curl the dumbbells up with elbows by your sides, then lower slowly.</t>
        </is>
      </c>
      <c r="O44" s="8" t="inlineStr">
        <is>
          <t>Main work</t>
        </is>
      </c>
      <c r="P44" s="8" t="inlineStr">
        <is>
          <t>Elbow: Bend elbow with weight (full)
Wrist: Grip tight (full)</t>
        </is>
      </c>
      <c r="Q44" s="9" t="n"/>
      <c r="R44" s="9" t="n"/>
    </row>
    <row r="45">
      <c r="A45" s="8" t="n">
        <v>44</v>
      </c>
      <c r="B45" s="8" t="inlineStr">
        <is>
          <t>dumbbell_concentration_curl</t>
        </is>
      </c>
      <c r="C45" s="8" t="inlineStr">
        <is>
          <t>Concentration curl</t>
        </is>
      </c>
      <c r="D45" s="8" t="inlineStr">
        <is>
          <t>Has video (woman + man)</t>
        </is>
      </c>
      <c r="E45" s="8" t="inlineStr">
        <is>
          <t>dumbbell_concentration_curl.f.mp4</t>
        </is>
      </c>
      <c r="F45" s="8" t="inlineStr">
        <is>
          <t>dumbbell_concentration_curl.m.mp4</t>
        </is>
      </c>
      <c r="G45" s="8" t="inlineStr">
        <is>
          <t>Biceps (Biceps brachii): primary, 1.0
Forearms (Wrist flexors and extensors): secondary, 0.3</t>
        </is>
      </c>
      <c r="H45" s="8" t="inlineStr">
        <is>
          <t>Dumbbells</t>
        </is>
      </c>
      <c r="I45" s="8" t="inlineStr">
        <is>
          <t>Home, Gym</t>
        </is>
      </c>
      <c r="J45" s="8" t="n">
        <v>1</v>
      </c>
      <c r="K45" s="8" t="inlineStr">
        <is>
          <t>13+ (teens)</t>
        </is>
      </c>
      <c r="L45" s="8" t="inlineStr">
        <is>
          <t>Seated</t>
        </is>
      </c>
      <c r="M45" s="8" t="inlineStr">
        <is>
          <t>Elbow / wrist, Recent surgery</t>
        </is>
      </c>
      <c r="N45" s="8" t="inlineStr">
        <is>
          <t>Sit, elbow resting inside your thigh, and curl the dumbbell up slowly, then lower all the way.</t>
        </is>
      </c>
      <c r="O45" s="8" t="inlineStr">
        <is>
          <t>Main work</t>
        </is>
      </c>
      <c r="P45" s="8" t="inlineStr">
        <is>
          <t>Elbow: Bend elbow with weight (full)
Wrist: Grip tight (full)</t>
        </is>
      </c>
      <c r="Q45" s="9" t="n"/>
      <c r="R45" s="9" t="n"/>
    </row>
    <row r="46">
      <c r="A46" s="8" t="n">
        <v>45</v>
      </c>
      <c r="B46" s="8" t="inlineStr">
        <is>
          <t>cross_body_hammer_curl</t>
        </is>
      </c>
      <c r="C46" s="8" t="inlineStr">
        <is>
          <t>Cross-body hammer curl</t>
        </is>
      </c>
      <c r="D46" s="8" t="inlineStr">
        <is>
          <t>Has video (woman + man)</t>
        </is>
      </c>
      <c r="E46" s="8" t="inlineStr">
        <is>
          <t>cross_body_hammer_curl.f.mp4</t>
        </is>
      </c>
      <c r="F46" s="8" t="inlineStr">
        <is>
          <t>cross_body_hammer_curl.m.mp4</t>
        </is>
      </c>
      <c r="G46" s="8" t="inlineStr">
        <is>
          <t>Biceps (Biceps brachii): primary, 0.8
Forearms (Wrist flexors and extensors): primary, 0.7</t>
        </is>
      </c>
      <c r="H46" s="8" t="inlineStr">
        <is>
          <t>Dumbbells</t>
        </is>
      </c>
      <c r="I46" s="8" t="inlineStr">
        <is>
          <t>Home, Gym</t>
        </is>
      </c>
      <c r="J46" s="8" t="n">
        <v>1</v>
      </c>
      <c r="K46" s="8" t="inlineStr">
        <is>
          <t>13+ (teens)</t>
        </is>
      </c>
      <c r="L46" s="8" t="inlineStr">
        <is>
          <t>Standing, Seated</t>
        </is>
      </c>
      <c r="M46" s="8" t="inlineStr">
        <is>
          <t>Elbow / wrist, Recent surgery</t>
        </is>
      </c>
      <c r="N46" s="8" t="inlineStr">
        <is>
          <t>Palm facing in, curl one dumbbell across your body toward the opposite shoulder; alternate arms.</t>
        </is>
      </c>
      <c r="O46" s="8" t="inlineStr">
        <is>
          <t>Main work</t>
        </is>
      </c>
      <c r="P46" s="8" t="inlineStr">
        <is>
          <t>Elbow: Bend elbow with weight (full)
Wrist: Grip tight (full)</t>
        </is>
      </c>
      <c r="Q46" s="9" t="n"/>
      <c r="R46" s="9" t="n"/>
    </row>
    <row r="47">
      <c r="A47" s="8" t="n">
        <v>46</v>
      </c>
      <c r="B47" s="8" t="inlineStr">
        <is>
          <t>dumbbell_reverse_curl</t>
        </is>
      </c>
      <c r="C47" s="8" t="inlineStr">
        <is>
          <t>Dumbbell reverse curl</t>
        </is>
      </c>
      <c r="D47" s="8" t="inlineStr">
        <is>
          <t>Has video (woman + man)</t>
        </is>
      </c>
      <c r="E47" s="8" t="inlineStr">
        <is>
          <t>dumbbell_reverse_curl.f.mp4</t>
        </is>
      </c>
      <c r="F47" s="8" t="inlineStr">
        <is>
          <t>dumbbell_reverse_curl.m.mp4</t>
        </is>
      </c>
      <c r="G47" s="8" t="inlineStr">
        <is>
          <t>Forearms (Wrist flexors and extensors): primary, 0.9
Biceps (Biceps brachii): primary, 0.6</t>
        </is>
      </c>
      <c r="H47" s="8" t="inlineStr">
        <is>
          <t>Dumbbells</t>
        </is>
      </c>
      <c r="I47" s="8" t="inlineStr">
        <is>
          <t>Home, Gym</t>
        </is>
      </c>
      <c r="J47" s="8" t="n">
        <v>1</v>
      </c>
      <c r="K47" s="8" t="inlineStr">
        <is>
          <t>13+ (teens)</t>
        </is>
      </c>
      <c r="L47" s="8" t="inlineStr">
        <is>
          <t>Standing, Seated</t>
        </is>
      </c>
      <c r="M47" s="8" t="inlineStr">
        <is>
          <t>Elbow / wrist, Recent surgery</t>
        </is>
      </c>
      <c r="N47" s="8" t="inlineStr">
        <is>
          <t>Palms down and wrists straight, curl the dumbbells up with elbows by your sides, then lower.</t>
        </is>
      </c>
      <c r="O47" s="8" t="inlineStr">
        <is>
          <t>Main work</t>
        </is>
      </c>
      <c r="P47" s="8" t="inlineStr">
        <is>
          <t>Elbow: Bend elbow with weight (full)
Wrist: Weight on your hands (hold, no movement)
Wrist: Grip tight (full)</t>
        </is>
      </c>
      <c r="Q47" s="9" t="n"/>
      <c r="R47" s="9" t="n"/>
    </row>
    <row r="48">
      <c r="A48" s="8" t="n">
        <v>47</v>
      </c>
      <c r="B48" s="8" t="inlineStr">
        <is>
          <t>heel_dig_bridge</t>
        </is>
      </c>
      <c r="C48" s="8" t="inlineStr">
        <is>
          <t>Heel-dig bridge</t>
        </is>
      </c>
      <c r="D48" s="8" t="inlineStr">
        <is>
          <t>Has video (woman + man)</t>
        </is>
      </c>
      <c r="E48" s="8" t="inlineStr">
        <is>
          <t>heel_dig_bridge.f.mp4</t>
        </is>
      </c>
      <c r="F48" s="8" t="inlineStr">
        <is>
          <t>heel_dig_bridge.m.mp4</t>
        </is>
      </c>
      <c r="G48" s="8" t="inlineStr">
        <is>
          <t>Hamstrings (Hamstrings): primary, 0.7
Glutes (Gluteus maximus and medius): primary, 0.6</t>
        </is>
      </c>
      <c r="H48" s="8" t="inlineStr">
        <is>
          <t>Bodyweight</t>
        </is>
      </c>
      <c r="I48" s="8" t="inlineStr">
        <is>
          <t>Home, Gym, Outdoors</t>
        </is>
      </c>
      <c r="J48" s="8" t="n">
        <v>1</v>
      </c>
      <c r="K48" s="8" t="inlineStr">
        <is>
          <t>9+ (kids)</t>
        </is>
      </c>
      <c r="L48" s="8" t="inlineStr">
        <is>
          <t>Standing</t>
        </is>
      </c>
      <c r="M48" s="8" t="inlineStr">
        <is>
          <t>Pregnant / postpartum, Recent surgery</t>
        </is>
      </c>
      <c r="N48" s="8" t="inlineStr">
        <is>
          <t>Feet farther out, toes up; dig heels down and lift hips a little, then lower slowly.</t>
        </is>
      </c>
      <c r="O48" s="8" t="inlineStr">
        <is>
          <t>Main work</t>
        </is>
      </c>
      <c r="P48" s="8" t="inlineStr">
        <is>
          <t>Hip: Leg behind you (partial)
Knee: Bend the knee deep (hold, no movement)</t>
        </is>
      </c>
      <c r="Q48" s="9" t="n"/>
      <c r="R48" s="9" t="n"/>
    </row>
    <row r="49">
      <c r="A49" s="8" t="n">
        <v>48</v>
      </c>
      <c r="B49" s="8" t="inlineStr">
        <is>
          <t>clamshell</t>
        </is>
      </c>
      <c r="C49" s="8" t="inlineStr">
        <is>
          <t>Side-lying clamshell</t>
        </is>
      </c>
      <c r="D49" s="8" t="inlineStr">
        <is>
          <t>Has video (woman + man)</t>
        </is>
      </c>
      <c r="E49" s="8" t="inlineStr">
        <is>
          <t>clamshell.f.mp4</t>
        </is>
      </c>
      <c r="F49" s="8" t="inlineStr">
        <is>
          <t>clamshell.m.mp4</t>
        </is>
      </c>
      <c r="G49" s="8" t="inlineStr">
        <is>
          <t>Glutes (Gluteus maximus and medius): primary, 0.7
Hips (Hip flexors): primary, 0.6</t>
        </is>
      </c>
      <c r="H49" s="8" t="inlineStr">
        <is>
          <t>Bodyweight</t>
        </is>
      </c>
      <c r="I49" s="8" t="inlineStr">
        <is>
          <t>Home, Gym, Outdoors</t>
        </is>
      </c>
      <c r="J49" s="8" t="n">
        <v>1</v>
      </c>
      <c r="K49" s="8" t="inlineStr">
        <is>
          <t>9+ (kids)</t>
        </is>
      </c>
      <c r="L49" s="8" t="inlineStr">
        <is>
          <t>Standing</t>
        </is>
      </c>
      <c r="M49" s="8" t="inlineStr">
        <is>
          <t>Recent surgery</t>
        </is>
      </c>
      <c r="N49" s="8" t="inlineStr">
        <is>
          <t>Lie on your side, knees bent, feet together; open the top knee without rolling back.</t>
        </is>
      </c>
      <c r="O49" s="8" t="inlineStr">
        <is>
          <t>Main work</t>
        </is>
      </c>
      <c r="P49" s="8" t="inlineStr">
        <is>
          <t>Hip: Turn the hip (partial)
Hip: Leg out to the side (partial)</t>
        </is>
      </c>
      <c r="Q49" s="9" t="n"/>
      <c r="R49" s="9" t="n"/>
    </row>
    <row r="50">
      <c r="A50" s="8" t="n">
        <v>49</v>
      </c>
      <c r="B50" s="8" t="inlineStr">
        <is>
          <t>side_lying_leg_raise</t>
        </is>
      </c>
      <c r="C50" s="8" t="inlineStr">
        <is>
          <t>Side-lying leg raise</t>
        </is>
      </c>
      <c r="D50" s="8" t="inlineStr">
        <is>
          <t>Has video (woman + man)</t>
        </is>
      </c>
      <c r="E50" s="8" t="inlineStr">
        <is>
          <t>side_lying_leg_raise.f.mp4</t>
        </is>
      </c>
      <c r="F50" s="8" t="inlineStr">
        <is>
          <t>side_lying_leg_raise.m.mp4</t>
        </is>
      </c>
      <c r="G50" s="8" t="inlineStr">
        <is>
          <t>Hips (Hip flexors): primary, 0.7
Glutes (Gluteus maximus and medius): primary, 0.6</t>
        </is>
      </c>
      <c r="H50" s="8" t="inlineStr">
        <is>
          <t>Bodyweight</t>
        </is>
      </c>
      <c r="I50" s="8" t="inlineStr">
        <is>
          <t>Home, Gym, Outdoors</t>
        </is>
      </c>
      <c r="J50" s="8" t="n">
        <v>1</v>
      </c>
      <c r="K50" s="8" t="inlineStr">
        <is>
          <t>9+ (kids)</t>
        </is>
      </c>
      <c r="L50" s="8" t="inlineStr">
        <is>
          <t>Standing</t>
        </is>
      </c>
      <c r="M50" s="8" t="inlineStr">
        <is>
          <t>Hip, Recent surgery</t>
        </is>
      </c>
      <c r="N50" s="8" t="inlineStr">
        <is>
          <t>Lie on your side, bottom knee bent; lift the straight top leg slightly back, then lower slowly.</t>
        </is>
      </c>
      <c r="O50" s="8" t="inlineStr">
        <is>
          <t>Main work</t>
        </is>
      </c>
      <c r="P50" s="8" t="inlineStr">
        <is>
          <t>Hip: Leg out to the side (full)</t>
        </is>
      </c>
      <c r="Q50" s="9" t="n"/>
      <c r="R50" s="9" t="n"/>
    </row>
    <row r="51">
      <c r="A51" s="8" t="n">
        <v>50</v>
      </c>
      <c r="B51" s="8" t="inlineStr">
        <is>
          <t>bodyweight_good_morning</t>
        </is>
      </c>
      <c r="C51" s="8" t="inlineStr">
        <is>
          <t>Bodyweight good morning</t>
        </is>
      </c>
      <c r="D51" s="8" t="inlineStr">
        <is>
          <t>Has video (woman + man)</t>
        </is>
      </c>
      <c r="E51" s="8" t="inlineStr">
        <is>
          <t>bodyweight_good_morning.f.mp4</t>
        </is>
      </c>
      <c r="F51" s="8" t="inlineStr">
        <is>
          <t>bodyweight_good_morning.m.mp4</t>
        </is>
      </c>
      <c r="G51" s="8" t="inlineStr">
        <is>
          <t>Hamstrings (Hamstrings): primary, 0.7
Lower back (Erector spinae): primary, 0.5
Glutes (Gluteus maximus and medius): secondary, 0.4</t>
        </is>
      </c>
      <c r="H51" s="8" t="inlineStr">
        <is>
          <t>Bodyweight</t>
        </is>
      </c>
      <c r="I51" s="8" t="inlineStr">
        <is>
          <t>Home, Gym, Outdoors</t>
        </is>
      </c>
      <c r="J51" s="8" t="n">
        <v>1</v>
      </c>
      <c r="K51" s="8" t="inlineStr">
        <is>
          <t>9+ (kids)</t>
        </is>
      </c>
      <c r="L51" s="8" t="inlineStr">
        <is>
          <t>Standing</t>
        </is>
      </c>
      <c r="M51" s="8" t="inlineStr">
        <is>
          <t>Lower back, Recent surgery</t>
        </is>
      </c>
      <c r="N51" s="8" t="inlineStr">
        <is>
          <t>Hands on chest, soft knees; push hips back with a flat back until you feel a stretch, then stand.</t>
        </is>
      </c>
      <c r="O51" s="8" t="inlineStr">
        <is>
          <t>Main work</t>
        </is>
      </c>
      <c r="P51" s="8" t="inlineStr">
        <is>
          <t>Hip: Knee toward chest (full)
Lower back: Arch your back (hold, no movement)
Knee: Straighten with effort (hold, no movement)</t>
        </is>
      </c>
      <c r="Q51" s="9" t="n"/>
      <c r="R51" s="9" t="n"/>
    </row>
    <row r="52">
      <c r="A52" s="8" t="n">
        <v>51</v>
      </c>
      <c r="B52" s="8" t="inlineStr">
        <is>
          <t>chair_supported_squat</t>
        </is>
      </c>
      <c r="C52" s="8" t="inlineStr">
        <is>
          <t>Chair-supported squat</t>
        </is>
      </c>
      <c r="D52" s="8" t="inlineStr">
        <is>
          <t>Has video (woman + man)</t>
        </is>
      </c>
      <c r="E52" s="8" t="inlineStr">
        <is>
          <t>chair_supported_squat.f.mp4</t>
        </is>
      </c>
      <c r="F52" s="8" t="inlineStr">
        <is>
          <t>chair_supported_squat.m.mp4</t>
        </is>
      </c>
      <c r="G52" s="8" t="inlineStr">
        <is>
          <t>Quads (Quadriceps): primary, 0.7
Glutes (Gluteus maximus and medius): primary, 0.6</t>
        </is>
      </c>
      <c r="H52" s="8" t="inlineStr">
        <is>
          <t>Bodyweight</t>
        </is>
      </c>
      <c r="I52" s="8" t="inlineStr">
        <is>
          <t>Home, Gym, Outdoors</t>
        </is>
      </c>
      <c r="J52" s="8" t="n">
        <v>1</v>
      </c>
      <c r="K52" s="8" t="inlineStr">
        <is>
          <t>9+ (kids)</t>
        </is>
      </c>
      <c r="L52" s="8" t="inlineStr">
        <is>
          <t>Standing, With support</t>
        </is>
      </c>
      <c r="M52" s="8" t="inlineStr">
        <is>
          <t>Knee, Recent surgery</t>
        </is>
      </c>
      <c r="N52" s="8" t="inlineStr">
        <is>
          <t>Hold a chair back; sit hips back and down only as far as comfortable, then push up tall.</t>
        </is>
      </c>
      <c r="O52" s="8" t="inlineStr">
        <is>
          <t>Main work</t>
        </is>
      </c>
      <c r="P52" s="8" t="inlineStr">
        <is>
          <t>Knee: Bend the knee deep (partial)
Hip: Deep squat (partial)
Ankle: Knee over toes (partial)</t>
        </is>
      </c>
      <c r="Q52" s="9" t="n"/>
      <c r="R52" s="9" t="n"/>
    </row>
    <row r="53">
      <c r="A53" s="8" t="n">
        <v>52</v>
      </c>
      <c r="B53" s="8" t="inlineStr">
        <is>
          <t>supported_split_squat</t>
        </is>
      </c>
      <c r="C53" s="8" t="inlineStr">
        <is>
          <t>Supported split squat</t>
        </is>
      </c>
      <c r="D53" s="8" t="inlineStr">
        <is>
          <t>Has video (woman + man)</t>
        </is>
      </c>
      <c r="E53" s="8" t="inlineStr">
        <is>
          <t>supported_split_squat.f.mp4</t>
        </is>
      </c>
      <c r="F53" s="8" t="inlineStr">
        <is>
          <t>supported_split_squat.m.mp4</t>
        </is>
      </c>
      <c r="G53" s="8" t="inlineStr">
        <is>
          <t>Quads (Quadriceps): primary, 0.7
Glutes (Gluteus maximus and medius): primary, 0.6
Inner thighs (Hip adductors): secondary, 0.3</t>
        </is>
      </c>
      <c r="H53" s="8" t="inlineStr">
        <is>
          <t>Bodyweight</t>
        </is>
      </c>
      <c r="I53" s="8" t="inlineStr">
        <is>
          <t>Home, Gym, Outdoors</t>
        </is>
      </c>
      <c r="J53" s="8" t="n">
        <v>1</v>
      </c>
      <c r="K53" s="8" t="inlineStr">
        <is>
          <t>9+ (kids)</t>
        </is>
      </c>
      <c r="L53" s="8" t="inlineStr">
        <is>
          <t>Standing, With support</t>
        </is>
      </c>
      <c r="M53" s="8" t="inlineStr">
        <is>
          <t>Knee, Hip, Recent surgery</t>
        </is>
      </c>
      <c r="N53" s="8" t="inlineStr">
        <is>
          <t>Hold a chair, one foot forward and one back; lower straight down a little, then rise.</t>
        </is>
      </c>
      <c r="O53" s="8" t="inlineStr">
        <is>
          <t>Main work</t>
        </is>
      </c>
      <c r="P53" s="8" t="inlineStr">
        <is>
          <t>Knee: Bend the knee deep (full)
Hip: Leg behind you (partial)
Ankle: Knee over toes (partial)</t>
        </is>
      </c>
      <c r="Q53" s="9" t="n"/>
      <c r="R53" s="9" t="n"/>
    </row>
    <row r="54">
      <c r="A54" s="8" t="n">
        <v>53</v>
      </c>
      <c r="B54" s="8" t="inlineStr">
        <is>
          <t>partial_wall_sit</t>
        </is>
      </c>
      <c r="C54" s="8" t="inlineStr">
        <is>
          <t>Partial wall sit</t>
        </is>
      </c>
      <c r="D54" s="8" t="inlineStr">
        <is>
          <t>Has video (woman + man)</t>
        </is>
      </c>
      <c r="E54" s="8" t="inlineStr">
        <is>
          <t>partial_wall_sit.f.mp4</t>
        </is>
      </c>
      <c r="F54" s="8" t="inlineStr">
        <is>
          <t>partial_wall_sit.m.mp4</t>
        </is>
      </c>
      <c r="G54" s="8" t="inlineStr">
        <is>
          <t>Quads (Quadriceps): primary, 0.8
Knees (Muscles around the knee): primary, 0.5
Glutes (Gluteus maximus and medius): secondary, 0.4</t>
        </is>
      </c>
      <c r="H54" s="8" t="inlineStr">
        <is>
          <t>Bodyweight</t>
        </is>
      </c>
      <c r="I54" s="8" t="inlineStr">
        <is>
          <t>Home, Gym, Outdoors</t>
        </is>
      </c>
      <c r="J54" s="8" t="n">
        <v>1</v>
      </c>
      <c r="K54" s="8" t="inlineStr">
        <is>
          <t>9+ (kids)</t>
        </is>
      </c>
      <c r="L54" s="8" t="inlineStr">
        <is>
          <t>Standing, With support</t>
        </is>
      </c>
      <c r="M54" s="8" t="inlineStr">
        <is>
          <t>High blood pressure, Recent surgery</t>
        </is>
      </c>
      <c r="N54" s="8" t="inlineStr">
        <is>
          <t>Back on a wall, slide down a little, knees over ankles; hold and keep breathing.</t>
        </is>
      </c>
      <c r="O54" s="8" t="inlineStr">
        <is>
          <t>Main work</t>
        </is>
      </c>
      <c r="P54" s="8" t="inlineStr">
        <is>
          <t>Knee: Bend the knee deep (hold, no movement)
Hip: Knee toward chest (hold, no movement)</t>
        </is>
      </c>
      <c r="Q54" s="9" t="n"/>
      <c r="R54" s="9" t="n"/>
    </row>
    <row r="55">
      <c r="A55" s="8" t="n">
        <v>54</v>
      </c>
      <c r="B55" s="8" t="inlineStr">
        <is>
          <t>low_step_up</t>
        </is>
      </c>
      <c r="C55" s="8" t="inlineStr">
        <is>
          <t>Low step-up</t>
        </is>
      </c>
      <c r="D55" s="8" t="inlineStr">
        <is>
          <t>Has video (woman + man)</t>
        </is>
      </c>
      <c r="E55" s="8" t="inlineStr">
        <is>
          <t>low_step_up.f.mp4</t>
        </is>
      </c>
      <c r="F55" s="8" t="inlineStr">
        <is>
          <t>low_step_up.m.mp4</t>
        </is>
      </c>
      <c r="G55" s="8" t="inlineStr">
        <is>
          <t>Quads (Quadriceps): primary, 0.7
Glutes (Gluteus maximus and medius): primary, 0.6</t>
        </is>
      </c>
      <c r="H55" s="8" t="inlineStr">
        <is>
          <t>Bodyweight</t>
        </is>
      </c>
      <c r="I55" s="8" t="inlineStr">
        <is>
          <t>Home, Gym, Outdoors</t>
        </is>
      </c>
      <c r="J55" s="8" t="n">
        <v>1</v>
      </c>
      <c r="K55" s="8" t="inlineStr">
        <is>
          <t>9+ (kids)</t>
        </is>
      </c>
      <c r="L55" s="8" t="inlineStr">
        <is>
          <t>Standing, With support</t>
        </is>
      </c>
      <c r="M55" s="8" t="inlineStr">
        <is>
          <t>Knee, Recent surgery</t>
        </is>
      </c>
      <c r="N55" s="8" t="inlineStr">
        <is>
          <t>Hold a rail, step onto a low stair with the whole foot, stand tall, step down with control.</t>
        </is>
      </c>
      <c r="O55" s="8" t="inlineStr">
        <is>
          <t>Main work</t>
        </is>
      </c>
      <c r="P55" s="8" t="inlineStr">
        <is>
          <t>Knee: Stairs (partial)
Hip: Stand on one leg (partial)
Ankle: Balance and uneven ground (partial)</t>
        </is>
      </c>
      <c r="Q55" s="9" t="n"/>
      <c r="R55" s="9" t="n"/>
    </row>
    <row r="56">
      <c r="A56" s="8" t="n">
        <v>55</v>
      </c>
      <c r="B56" s="8" t="inlineStr">
        <is>
          <t>sumo_squat</t>
        </is>
      </c>
      <c r="C56" s="8" t="inlineStr">
        <is>
          <t>Sumo squat</t>
        </is>
      </c>
      <c r="D56" s="8" t="inlineStr">
        <is>
          <t>Has video (woman + man)</t>
        </is>
      </c>
      <c r="E56" s="8" t="inlineStr">
        <is>
          <t>sumo_squat.f.mp4</t>
        </is>
      </c>
      <c r="F56" s="8" t="inlineStr">
        <is>
          <t>sumo_squat.m.mp4</t>
        </is>
      </c>
      <c r="G56" s="8" t="inlineStr">
        <is>
          <t>Quads (Quadriceps): primary, 0.6
Inner thighs (Hip adductors): primary, 0.6
Glutes (Gluteus maximus and medius): secondary, 0.5</t>
        </is>
      </c>
      <c r="H56" s="8" t="inlineStr">
        <is>
          <t>Bodyweight</t>
        </is>
      </c>
      <c r="I56" s="8" t="inlineStr">
        <is>
          <t>Home, Gym, Outdoors</t>
        </is>
      </c>
      <c r="J56" s="8" t="n">
        <v>1</v>
      </c>
      <c r="K56" s="8" t="inlineStr">
        <is>
          <t>9+ (kids)</t>
        </is>
      </c>
      <c r="L56" s="8" t="inlineStr">
        <is>
          <t>Standing, With support</t>
        </is>
      </c>
      <c r="M56" s="8" t="inlineStr">
        <is>
          <t>Knee, Hip, Recent surgery</t>
        </is>
      </c>
      <c r="N56" s="8" t="inlineStr">
        <is>
          <t>Wide stance, toes slightly out; sit down with knees tracking over toes, then stand up.</t>
        </is>
      </c>
      <c r="O56" s="8" t="inlineStr">
        <is>
          <t>Main work</t>
        </is>
      </c>
      <c r="P56" s="8" t="inlineStr">
        <is>
          <t>Knee: Bend the knee deep (full)
Hip: Deep squat (full)
Hip: Leg out to the side (partial)</t>
        </is>
      </c>
      <c r="Q56" s="9" t="n"/>
      <c r="R56" s="9" t="n"/>
    </row>
    <row r="57">
      <c r="A57" s="8" t="n">
        <v>56</v>
      </c>
      <c r="B57" s="8" t="inlineStr">
        <is>
          <t>seated_pillow_squeeze</t>
        </is>
      </c>
      <c r="C57" s="8" t="inlineStr">
        <is>
          <t>Seated pillow squeeze</t>
        </is>
      </c>
      <c r="D57" s="8" t="inlineStr">
        <is>
          <t>Has video (woman + man)</t>
        </is>
      </c>
      <c r="E57" s="8" t="inlineStr">
        <is>
          <t>seated_pillow_squeeze.f.mp4</t>
        </is>
      </c>
      <c r="F57" s="8" t="inlineStr">
        <is>
          <t>seated_pillow_squeeze.m.mp4</t>
        </is>
      </c>
      <c r="G57" s="8" t="inlineStr">
        <is>
          <t>Inner thighs (Hip adductors): primary, 0.8
Hips (Hip flexors): secondary, 0.2</t>
        </is>
      </c>
      <c r="H57" s="8" t="inlineStr">
        <is>
          <t>Bodyweight</t>
        </is>
      </c>
      <c r="I57" s="8" t="inlineStr">
        <is>
          <t>Home, Gym, Outdoors</t>
        </is>
      </c>
      <c r="J57" s="8" t="n">
        <v>1</v>
      </c>
      <c r="K57" s="8" t="inlineStr">
        <is>
          <t>9+ (kids)</t>
        </is>
      </c>
      <c r="L57" s="8" t="inlineStr">
        <is>
          <t>Standing, With support, Seated</t>
        </is>
      </c>
      <c r="M57" s="8" t="inlineStr">
        <is>
          <t>Recent surgery</t>
        </is>
      </c>
      <c r="N57" s="8" t="inlineStr">
        <is>
          <t>Sit tall with a pillow or ball between your knees; squeeze for a few seconds, then relax.</t>
        </is>
      </c>
      <c r="O57" s="8" t="inlineStr">
        <is>
          <t>Main work</t>
        </is>
      </c>
      <c r="P57" s="8" t="inlineStr">
        <is>
          <t>Hip: Leg across (hold, no movement)</t>
        </is>
      </c>
      <c r="Q57" s="9" t="n"/>
      <c r="R57" s="9" t="n"/>
    </row>
    <row r="58">
      <c r="A58" s="8" t="n">
        <v>57</v>
      </c>
      <c r="B58" s="8" t="inlineStr">
        <is>
          <t>bridge_pillow_squeeze</t>
        </is>
      </c>
      <c r="C58" s="8" t="inlineStr">
        <is>
          <t>Bridge with pillow squeeze</t>
        </is>
      </c>
      <c r="D58" s="8" t="inlineStr">
        <is>
          <t>Has video (woman + man)</t>
        </is>
      </c>
      <c r="E58" s="8" t="inlineStr">
        <is>
          <t>bridge_pillow_squeeze.f.mp4</t>
        </is>
      </c>
      <c r="F58" s="8" t="inlineStr">
        <is>
          <t>bridge_pillow_squeeze.m.mp4</t>
        </is>
      </c>
      <c r="G58" s="8" t="inlineStr">
        <is>
          <t>Glutes (Gluteus maximus and medius): primary, 0.7
Inner thighs (Hip adductors): primary, 0.6
Hamstrings (Hamstrings): secondary, 0.3</t>
        </is>
      </c>
      <c r="H58" s="8" t="inlineStr">
        <is>
          <t>Bodyweight</t>
        </is>
      </c>
      <c r="I58" s="8" t="inlineStr">
        <is>
          <t>Home, Gym, Outdoors</t>
        </is>
      </c>
      <c r="J58" s="8" t="n">
        <v>1</v>
      </c>
      <c r="K58" s="8" t="inlineStr">
        <is>
          <t>9+ (kids)</t>
        </is>
      </c>
      <c r="L58" s="8" t="inlineStr">
        <is>
          <t>Standing</t>
        </is>
      </c>
      <c r="M58" s="8" t="inlineStr">
        <is>
          <t>Pregnant / postpartum, Recent surgery, Heart condition, High blood pressure</t>
        </is>
      </c>
      <c r="N58" s="8" t="inlineStr">
        <is>
          <t>Pillow between knees; breathe out as you squeeze and lift your hips a little, breathe in as you lower slowly. Never hold your breath.</t>
        </is>
      </c>
      <c r="O58" s="8" t="inlineStr">
        <is>
          <t>Main work</t>
        </is>
      </c>
      <c r="P58" s="8" t="inlineStr">
        <is>
          <t>Hip: Leg behind you (partial)
Hip: Leg across (hold, no movement)
Knee: Bend the knee deep (hold, no movement)</t>
        </is>
      </c>
      <c r="Q58" s="9" t="n"/>
      <c r="R58" s="9" t="n"/>
    </row>
    <row r="59">
      <c r="A59" s="8" t="n">
        <v>58</v>
      </c>
      <c r="B59" s="8" t="inlineStr">
        <is>
          <t>seated_knee_extension</t>
        </is>
      </c>
      <c r="C59" s="8" t="inlineStr">
        <is>
          <t>Seated knee extension</t>
        </is>
      </c>
      <c r="D59" s="8" t="inlineStr">
        <is>
          <t>Has video (woman + man)</t>
        </is>
      </c>
      <c r="E59" s="8" t="inlineStr">
        <is>
          <t>seated_knee_extension.f.mp4</t>
        </is>
      </c>
      <c r="F59" s="8" t="inlineStr">
        <is>
          <t>seated_knee_extension.m.mp4</t>
        </is>
      </c>
      <c r="G59" s="8" t="inlineStr">
        <is>
          <t>Quads (Quadriceps): primary, 0.7
Knees (Muscles around the knee): primary, 0.6</t>
        </is>
      </c>
      <c r="H59" s="8" t="inlineStr">
        <is>
          <t>Bodyweight</t>
        </is>
      </c>
      <c r="I59" s="8" t="inlineStr">
        <is>
          <t>Home, Gym, Outdoors</t>
        </is>
      </c>
      <c r="J59" s="8" t="n">
        <v>1</v>
      </c>
      <c r="K59" s="8" t="inlineStr">
        <is>
          <t>9+ (kids)</t>
        </is>
      </c>
      <c r="L59" s="8" t="inlineStr">
        <is>
          <t>Standing, With support, Seated</t>
        </is>
      </c>
      <c r="M59" s="8" t="inlineStr">
        <is>
          <t>Recent surgery</t>
        </is>
      </c>
      <c r="N59" s="8" t="inlineStr">
        <is>
          <t>Sit tall, hold the seat; straighten one knee, pause, then lower slowly.</t>
        </is>
      </c>
      <c r="O59" s="8" t="inlineStr">
        <is>
          <t>Main work</t>
        </is>
      </c>
      <c r="P59" s="8" t="inlineStr">
        <is>
          <t>Knee: Straighten with effort (full)</t>
        </is>
      </c>
      <c r="Q59" s="9" t="n"/>
      <c r="R59" s="9" t="n"/>
    </row>
    <row r="60">
      <c r="A60" s="8" t="n">
        <v>59</v>
      </c>
      <c r="B60" s="8" t="inlineStr">
        <is>
          <t>seated_march_hold</t>
        </is>
      </c>
      <c r="C60" s="8" t="inlineStr">
        <is>
          <t>Seated march with hold</t>
        </is>
      </c>
      <c r="D60" s="8" t="inlineStr">
        <is>
          <t>Has video (woman + man)</t>
        </is>
      </c>
      <c r="E60" s="8" t="inlineStr">
        <is>
          <t>seated_march_hold.f.mp4</t>
        </is>
      </c>
      <c r="F60" s="8" t="inlineStr">
        <is>
          <t>seated_march_hold.m.mp4</t>
        </is>
      </c>
      <c r="G60" s="8" t="inlineStr">
        <is>
          <t>Hips (Hip flexors): primary, 0.7
Lower abs (Rectus abdominis · lower): primary, 0.5
Quads (Quadriceps): secondary, 0.3</t>
        </is>
      </c>
      <c r="H60" s="8" t="inlineStr">
        <is>
          <t>Bodyweight</t>
        </is>
      </c>
      <c r="I60" s="8" t="inlineStr">
        <is>
          <t>Home, Gym, Outdoors</t>
        </is>
      </c>
      <c r="J60" s="8" t="n">
        <v>1</v>
      </c>
      <c r="K60" s="8" t="inlineStr">
        <is>
          <t>9+ (kids)</t>
        </is>
      </c>
      <c r="L60" s="8" t="inlineStr">
        <is>
          <t>Standing, With support, Seated</t>
        </is>
      </c>
      <c r="M60" s="8" t="inlineStr">
        <is>
          <t>Recent surgery</t>
        </is>
      </c>
      <c r="N60" s="8" t="inlineStr">
        <is>
          <t>Sit tall without leaning back; lift one knee, hold 3 seconds, lower, switch sides.</t>
        </is>
      </c>
      <c r="O60" s="8" t="inlineStr">
        <is>
          <t>Main work</t>
        </is>
      </c>
      <c r="P60" s="8" t="inlineStr">
        <is>
          <t>Hip: Knee toward chest (partial)
Knee: Bend the knee deep (hold, no movement)</t>
        </is>
      </c>
      <c r="Q60" s="9" t="n"/>
      <c r="R60" s="9" t="n"/>
    </row>
    <row r="61">
      <c r="A61" s="8" t="n">
        <v>60</v>
      </c>
      <c r="B61" s="8" t="inlineStr">
        <is>
          <t>door_frame_squat_hold</t>
        </is>
      </c>
      <c r="C61" s="8" t="inlineStr">
        <is>
          <t>Door-frame squat hold</t>
        </is>
      </c>
      <c r="D61" s="8" t="inlineStr">
        <is>
          <t>Has video (woman + man)</t>
        </is>
      </c>
      <c r="E61" s="8" t="inlineStr">
        <is>
          <t>door_frame_squat_hold.f.mp4</t>
        </is>
      </c>
      <c r="F61" s="8" t="inlineStr">
        <is>
          <t>door_frame_squat_hold.m.mp4</t>
        </is>
      </c>
      <c r="G61" s="8" t="inlineStr">
        <is>
          <t>Quads (Quadriceps): primary, 0.8
Knees (Muscles around the knee): primary, 0.6</t>
        </is>
      </c>
      <c r="H61" s="8" t="inlineStr">
        <is>
          <t>Bodyweight</t>
        </is>
      </c>
      <c r="I61" s="8" t="inlineStr">
        <is>
          <t>Home, Gym, Outdoors</t>
        </is>
      </c>
      <c r="J61" s="8" t="n">
        <v>1</v>
      </c>
      <c r="K61" s="8" t="inlineStr">
        <is>
          <t>9+ (kids)</t>
        </is>
      </c>
      <c r="L61" s="8" t="inlineStr">
        <is>
          <t>Standing, With support</t>
        </is>
      </c>
      <c r="M61" s="8" t="inlineStr">
        <is>
          <t>High blood pressure, Recent surgery</t>
        </is>
      </c>
      <c r="N61" s="8" t="inlineStr">
        <is>
          <t>Hold a door frame, lean back with arms straight, shins upright; sit into a small squat and hold.</t>
        </is>
      </c>
      <c r="O61" s="8" t="inlineStr">
        <is>
          <t>Main work</t>
        </is>
      </c>
      <c r="P61" s="8" t="inlineStr">
        <is>
          <t>Knee: Bend the knee deep (hold, no movement)
Hip: Knee toward chest (hold, no movement)</t>
        </is>
      </c>
      <c r="Q61" s="9" t="n"/>
      <c r="R61" s="9" t="n"/>
    </row>
    <row r="62">
      <c r="A62" s="8" t="n">
        <v>61</v>
      </c>
      <c r="B62" s="8" t="inlineStr">
        <is>
          <t>seated_heel_toe_rock</t>
        </is>
      </c>
      <c r="C62" s="8" t="inlineStr">
        <is>
          <t>Seated heel-toe rock</t>
        </is>
      </c>
      <c r="D62" s="8" t="inlineStr">
        <is>
          <t>Has video (woman + man)</t>
        </is>
      </c>
      <c r="E62" s="8" t="inlineStr">
        <is>
          <t>seated_heel_toe_rock.f.mp4</t>
        </is>
      </c>
      <c r="F62" s="8" t="inlineStr">
        <is>
          <t>seated_heel_toe_rock.m.mp4</t>
        </is>
      </c>
      <c r="G62" s="8" t="inlineStr">
        <is>
          <t>Shins (Tibialis anterior): primary, 0.6
Calves (Gastrocnemius and soleus): primary, 0.6</t>
        </is>
      </c>
      <c r="H62" s="8" t="inlineStr">
        <is>
          <t>Bodyweight</t>
        </is>
      </c>
      <c r="I62" s="8" t="inlineStr">
        <is>
          <t>Home, Gym, Outdoors</t>
        </is>
      </c>
      <c r="J62" s="8" t="n">
        <v>1</v>
      </c>
      <c r="K62" s="8" t="inlineStr">
        <is>
          <t>9+ (kids)</t>
        </is>
      </c>
      <c r="L62" s="8" t="inlineStr">
        <is>
          <t>Standing, With support, Seated</t>
        </is>
      </c>
      <c r="M62" s="8" t="inlineStr">
        <is>
          <t>Ankle / foot, Recent surgery</t>
        </is>
      </c>
      <c r="N62" s="8" t="inlineStr">
        <is>
          <t>Sit tall, feet flat; rock up onto your toes, then back onto your heels, slow and steady.</t>
        </is>
      </c>
      <c r="O62" s="8" t="inlineStr">
        <is>
          <t>Main work</t>
        </is>
      </c>
      <c r="P62" s="8" t="inlineStr">
        <is>
          <t>Ankle: Knee over toes (full)
Ankle: Tiptoe (full)</t>
        </is>
      </c>
      <c r="Q62" s="9" t="n"/>
      <c r="R62" s="9" t="n"/>
    </row>
    <row r="63">
      <c r="A63" s="8" t="n">
        <v>62</v>
      </c>
      <c r="B63" s="8" t="inlineStr">
        <is>
          <t>seated_crunch_brace</t>
        </is>
      </c>
      <c r="C63" s="8" t="inlineStr">
        <is>
          <t>Seated crunch</t>
        </is>
      </c>
      <c r="D63" s="8" t="inlineStr">
        <is>
          <t>Has video (woman + man)</t>
        </is>
      </c>
      <c r="E63" s="8" t="inlineStr">
        <is>
          <t>seated_crunch_brace.f.mp4</t>
        </is>
      </c>
      <c r="F63" s="8" t="inlineStr">
        <is>
          <t>seated_crunch_brace.m.mp4</t>
        </is>
      </c>
      <c r="G63" s="8" t="inlineStr">
        <is>
          <t>Upper abs (Rectus abdominis · upper): primary, 0.7
Lower abs (Rectus abdominis · lower): secondary, 0.5</t>
        </is>
      </c>
      <c r="H63" s="8" t="inlineStr">
        <is>
          <t>Bodyweight</t>
        </is>
      </c>
      <c r="I63" s="8" t="inlineStr">
        <is>
          <t>Home, Gym, Outdoors</t>
        </is>
      </c>
      <c r="J63" s="8" t="n">
        <v>1</v>
      </c>
      <c r="K63" s="8" t="inlineStr">
        <is>
          <t>9+ (kids)</t>
        </is>
      </c>
      <c r="L63" s="8" t="inlineStr">
        <is>
          <t>Standing, With support, Seated</t>
        </is>
      </c>
      <c r="M63" s="8" t="inlineStr">
        <is>
          <t>Osteoporosis, Recent surgery</t>
        </is>
      </c>
      <c r="N63" s="8" t="inlineStr">
        <is>
          <t>Sit near the front of a chair; brace, curl your ribs toward your hips a little, then sit tall.</t>
        </is>
      </c>
      <c r="O63" s="8" t="inlineStr">
        <is>
          <t>Main work</t>
        </is>
      </c>
      <c r="P63" s="8" t="inlineStr">
        <is>
          <t>Lower back: Bend forward (partial)</t>
        </is>
      </c>
      <c r="Q63" s="9" t="n"/>
      <c r="R63" s="9" t="n"/>
    </row>
    <row r="64">
      <c r="A64" s="8" t="n">
        <v>63</v>
      </c>
      <c r="B64" s="8" t="inlineStr">
        <is>
          <t>seated_side_bend</t>
        </is>
      </c>
      <c r="C64" s="8" t="inlineStr">
        <is>
          <t>Seated side bend</t>
        </is>
      </c>
      <c r="D64" s="8" t="inlineStr">
        <is>
          <t>Has video (woman + man)</t>
        </is>
      </c>
      <c r="E64" s="8" t="inlineStr">
        <is>
          <t>seated_side_bend.f.mp4</t>
        </is>
      </c>
      <c r="F64" s="8" t="inlineStr">
        <is>
          <t>seated_side_bend.m.mp4</t>
        </is>
      </c>
      <c r="G64" s="8" t="inlineStr">
        <is>
          <t>Obliques (External and internal obliques): primary, 0.7
Lower back (Erector spinae): secondary, 0.3</t>
        </is>
      </c>
      <c r="H64" s="8" t="inlineStr">
        <is>
          <t>Bodyweight</t>
        </is>
      </c>
      <c r="I64" s="8" t="inlineStr">
        <is>
          <t>Home, Gym, Outdoors</t>
        </is>
      </c>
      <c r="J64" s="8" t="n">
        <v>1</v>
      </c>
      <c r="K64" s="8" t="inlineStr">
        <is>
          <t>9+ (kids)</t>
        </is>
      </c>
      <c r="L64" s="8" t="inlineStr">
        <is>
          <t>Standing, With support, Seated</t>
        </is>
      </c>
      <c r="M64" s="8" t="inlineStr">
        <is>
          <t>Recent surgery</t>
        </is>
      </c>
      <c r="N64" s="8" t="inlineStr">
        <is>
          <t>Sit tall, hands by your sides; slide one hand toward the floor, then pull yourself upright.</t>
        </is>
      </c>
      <c r="O64" s="8" t="inlineStr">
        <is>
          <t>Main work</t>
        </is>
      </c>
      <c r="P64" s="8" t="inlineStr">
        <is>
          <t>Lower back: Lean to the side (partial)</t>
        </is>
      </c>
      <c r="Q64" s="9" t="n"/>
      <c r="R64" s="9" t="n"/>
    </row>
    <row r="65">
      <c r="A65" s="8" t="n">
        <v>64</v>
      </c>
      <c r="B65" s="8" t="inlineStr">
        <is>
          <t>seated_lean_back_hold</t>
        </is>
      </c>
      <c r="C65" s="8" t="inlineStr">
        <is>
          <t>Seated lean-back hold</t>
        </is>
      </c>
      <c r="D65" s="8" t="inlineStr">
        <is>
          <t>Has video (woman + man)</t>
        </is>
      </c>
      <c r="E65" s="8" t="inlineStr">
        <is>
          <t>seated_lean_back_hold.f.mp4</t>
        </is>
      </c>
      <c r="F65" s="8" t="inlineStr">
        <is>
          <t>seated_lean_back_hold.m.mp4</t>
        </is>
      </c>
      <c r="G65" s="8" t="inlineStr">
        <is>
          <t>Lower abs (Rectus abdominis · lower): primary, 0.6
Upper abs (Rectus abdominis · upper): primary, 0.6
Hips (Hip flexors): secondary, 0.3</t>
        </is>
      </c>
      <c r="H65" s="8" t="inlineStr">
        <is>
          <t>Bodyweight</t>
        </is>
      </c>
      <c r="I65" s="8" t="inlineStr">
        <is>
          <t>Home, Gym, Outdoors</t>
        </is>
      </c>
      <c r="J65" s="8" t="n">
        <v>1</v>
      </c>
      <c r="K65" s="8" t="inlineStr">
        <is>
          <t>9+ (kids)</t>
        </is>
      </c>
      <c r="L65" s="8" t="inlineStr">
        <is>
          <t>Standing, With support, Seated</t>
        </is>
      </c>
      <c r="M65" s="8" t="inlineStr">
        <is>
          <t>Lower back, Recent surgery</t>
        </is>
      </c>
      <c r="N65" s="8" t="inlineStr">
        <is>
          <t>Sit near the front of a chair, arms crossed; lean back a little with a long spine and hold.</t>
        </is>
      </c>
      <c r="O65" s="8" t="inlineStr">
        <is>
          <t>Main work</t>
        </is>
      </c>
      <c r="P65" s="8" t="inlineStr">
        <is>
          <t>Hip: Knee toward chest (hold, no movement)
Lower back: Bend forward (hold, no movement)</t>
        </is>
      </c>
      <c r="Q65" s="9" t="n"/>
      <c r="R65" s="9" t="n"/>
    </row>
    <row r="66">
      <c r="A66" s="8" t="n">
        <v>65</v>
      </c>
      <c r="B66" s="8" t="inlineStr">
        <is>
          <t>standing_oblique_crunch</t>
        </is>
      </c>
      <c r="C66" s="8" t="inlineStr">
        <is>
          <t>Standing side crunch</t>
        </is>
      </c>
      <c r="D66" s="8" t="inlineStr">
        <is>
          <t>Has video (woman + man)</t>
        </is>
      </c>
      <c r="E66" s="8" t="inlineStr">
        <is>
          <t>standing_oblique_crunch.f.mp4</t>
        </is>
      </c>
      <c r="F66" s="8" t="inlineStr">
        <is>
          <t>standing_oblique_crunch.m.mp4</t>
        </is>
      </c>
      <c r="G66" s="8" t="inlineStr">
        <is>
          <t>Obliques (External and internal obliques): primary, 0.7
Hips (Hip flexors): secondary, 0.3</t>
        </is>
      </c>
      <c r="H66" s="8" t="inlineStr">
        <is>
          <t>Bodyweight</t>
        </is>
      </c>
      <c r="I66" s="8" t="inlineStr">
        <is>
          <t>Home, Gym, Outdoors</t>
        </is>
      </c>
      <c r="J66" s="8" t="n">
        <v>1</v>
      </c>
      <c r="K66" s="8" t="inlineStr">
        <is>
          <t>9+ (kids)</t>
        </is>
      </c>
      <c r="L66" s="8" t="inlineStr">
        <is>
          <t>Standing, With support</t>
        </is>
      </c>
      <c r="M66" s="8" t="inlineStr">
        <is>
          <t>Recent surgery</t>
        </is>
      </c>
      <c r="N66" s="8" t="inlineStr">
        <is>
          <t>Hold a chair with one hand; lift the outside knee as the same elbow comes down to meet it.</t>
        </is>
      </c>
      <c r="O66" s="8" t="inlineStr">
        <is>
          <t>Main work</t>
        </is>
      </c>
      <c r="P66" s="8" t="inlineStr">
        <is>
          <t>Lower back: Lean to the side (partial)
Hip: Knee toward chest (partial)
Hip: Stand on one leg (partial)
Knee: Straighten with effort (hold, no movement)</t>
        </is>
      </c>
      <c r="Q66" s="9" t="n"/>
      <c r="R66" s="9" t="n"/>
    </row>
    <row r="67">
      <c r="A67" s="8" t="n">
        <v>66</v>
      </c>
      <c r="B67" s="8" t="inlineStr">
        <is>
          <t>standing_supported_bird_dog</t>
        </is>
      </c>
      <c r="C67" s="8" t="inlineStr">
        <is>
          <t>Standing bird dog</t>
        </is>
      </c>
      <c r="D67" s="8" t="inlineStr">
        <is>
          <t>Has video (woman + man)</t>
        </is>
      </c>
      <c r="E67" s="8" t="inlineStr">
        <is>
          <t>standing_supported_bird_dog.f.mp4</t>
        </is>
      </c>
      <c r="F67" s="8" t="inlineStr">
        <is>
          <t>standing_supported_bird_dog.m.mp4</t>
        </is>
      </c>
      <c r="G67" s="8" t="inlineStr">
        <is>
          <t>Lower back (Erector spinae): primary, 0.6
Glutes (Gluteus maximus and medius): primary, 0.6
Front shoulders (Deltoid · front head): secondary, 0.3</t>
        </is>
      </c>
      <c r="H67" s="8" t="inlineStr">
        <is>
          <t>Bodyweight</t>
        </is>
      </c>
      <c r="I67" s="8" t="inlineStr">
        <is>
          <t>Home, Gym, Outdoors</t>
        </is>
      </c>
      <c r="J67" s="8" t="n">
        <v>1</v>
      </c>
      <c r="K67" s="8" t="inlineStr">
        <is>
          <t>9+ (kids)</t>
        </is>
      </c>
      <c r="L67" s="8" t="inlineStr">
        <is>
          <t>Standing, With support</t>
        </is>
      </c>
      <c r="M67" s="8" t="inlineStr">
        <is>
          <t>Recent surgery</t>
        </is>
      </c>
      <c r="N67" s="8" t="inlineStr">
        <is>
          <t>One hand on a wall; reach the other arm forward as the opposite leg goes back, hold, switch.</t>
        </is>
      </c>
      <c r="O67" s="8" t="inlineStr">
        <is>
          <t>Main work</t>
        </is>
      </c>
      <c r="P67" s="8" t="inlineStr">
        <is>
          <t>Hip: Leg behind you (partial)
Shoulder: Raise arm in front (partial)
Hip: Stand on one leg (partial)
Lower back: Arch your back (hold, no movement)
Knee: Straighten with effort (hold, no movement)</t>
        </is>
      </c>
      <c r="Q67" s="9" t="n"/>
      <c r="R67" s="9" t="n"/>
    </row>
    <row r="68">
      <c r="A68" s="8" t="n">
        <v>67</v>
      </c>
      <c r="B68" s="8" t="inlineStr">
        <is>
          <t>incline_plank</t>
        </is>
      </c>
      <c r="C68" s="8" t="inlineStr">
        <is>
          <t>Incline plank</t>
        </is>
      </c>
      <c r="D68" s="8" t="inlineStr">
        <is>
          <t>Has video (woman + man)</t>
        </is>
      </c>
      <c r="E68" s="8" t="inlineStr">
        <is>
          <t>incline_plank.f.mp4</t>
        </is>
      </c>
      <c r="F68" s="8" t="inlineStr">
        <is>
          <t>incline_plank.m.mp4</t>
        </is>
      </c>
      <c r="G68" s="8" t="inlineStr">
        <is>
          <t>Upper abs (Rectus abdominis · upper): primary, 0.6
Lower abs (Rectus abdominis · lower): primary, 0.6
Front shoulders (Deltoid · front head): stabilizer, 0.3</t>
        </is>
      </c>
      <c r="H68" s="8" t="inlineStr">
        <is>
          <t>Bodyweight</t>
        </is>
      </c>
      <c r="I68" s="8" t="inlineStr">
        <is>
          <t>Home, Gym, Outdoors</t>
        </is>
      </c>
      <c r="J68" s="8" t="n">
        <v>1</v>
      </c>
      <c r="K68" s="8" t="inlineStr">
        <is>
          <t>9+ (kids)</t>
        </is>
      </c>
      <c r="L68" s="8" t="inlineStr">
        <is>
          <t>Standing, With support</t>
        </is>
      </c>
      <c r="M68" s="8" t="inlineStr">
        <is>
          <t>Elbow / wrist, Recent surgery</t>
        </is>
      </c>
      <c r="N68" s="8" t="inlineStr">
        <is>
          <t>Hands on a counter or sturdy table, body in a straight line; brace and hold, breathing.</t>
        </is>
      </c>
      <c r="O68" s="8" t="inlineStr">
        <is>
          <t>Main work</t>
        </is>
      </c>
      <c r="P68" s="8" t="inlineStr">
        <is>
          <t>Shoulder: Push (hold, no movement)
Wrist: Weight on your hands (hold, no movement)
Lower back: Arch your back (hold, no movement)</t>
        </is>
      </c>
      <c r="Q68" s="9" t="n"/>
      <c r="R68" s="9" t="n"/>
    </row>
    <row r="69">
      <c r="A69" s="8" t="n">
        <v>68</v>
      </c>
      <c r="B69" s="8" t="inlineStr">
        <is>
          <t>dead_bug_heel_tap</t>
        </is>
      </c>
      <c r="C69" s="8" t="inlineStr">
        <is>
          <t>Dead bug heel tap</t>
        </is>
      </c>
      <c r="D69" s="8" t="inlineStr">
        <is>
          <t>Has video (woman + man)</t>
        </is>
      </c>
      <c r="E69" s="8" t="inlineStr">
        <is>
          <t>dead_bug_heel_tap.f.mp4</t>
        </is>
      </c>
      <c r="F69" s="8" t="inlineStr">
        <is>
          <t>dead_bug_heel_tap.m.mp4</t>
        </is>
      </c>
      <c r="G69" s="8" t="inlineStr">
        <is>
          <t>Lower abs (Rectus abdominis · lower): primary, 0.7
Upper abs (Rectus abdominis · upper): secondary, 0.4</t>
        </is>
      </c>
      <c r="H69" s="8" t="inlineStr">
        <is>
          <t>Bodyweight</t>
        </is>
      </c>
      <c r="I69" s="8" t="inlineStr">
        <is>
          <t>Home, Gym, Outdoors</t>
        </is>
      </c>
      <c r="J69" s="8" t="n">
        <v>1</v>
      </c>
      <c r="K69" s="8" t="inlineStr">
        <is>
          <t>9+ (kids)</t>
        </is>
      </c>
      <c r="L69" s="8" t="inlineStr">
        <is>
          <t>Standing</t>
        </is>
      </c>
      <c r="M69" s="8" t="inlineStr">
        <is>
          <t>Pregnant / postpartum, Recent surgery</t>
        </is>
      </c>
      <c r="N69" s="8" t="inlineStr">
        <is>
          <t>On your back, knees up at 90 degrees, back flat; lower one heel to tap the floor, return, switch.</t>
        </is>
      </c>
      <c r="O69" s="8" t="inlineStr">
        <is>
          <t>Main work</t>
        </is>
      </c>
      <c r="P69" s="8" t="inlineStr">
        <is>
          <t>Hip: Knee toward chest (partial)
Knee: Bend the knee deep (partial)</t>
        </is>
      </c>
      <c r="Q69" s="9" t="n"/>
      <c r="R69" s="9" t="n"/>
    </row>
    <row r="70">
      <c r="A70" s="8" t="n">
        <v>69</v>
      </c>
      <c r="B70" s="8" t="inlineStr">
        <is>
          <t>kneeling_side_plank</t>
        </is>
      </c>
      <c r="C70" s="8" t="inlineStr">
        <is>
          <t>Kneeling side plank</t>
        </is>
      </c>
      <c r="D70" s="8" t="inlineStr">
        <is>
          <t>Has video (woman + man)</t>
        </is>
      </c>
      <c r="E70" s="8" t="inlineStr">
        <is>
          <t>kneeling_side_plank.f.mp4</t>
        </is>
      </c>
      <c r="F70" s="8" t="inlineStr">
        <is>
          <t>kneeling_side_plank.m.mp4</t>
        </is>
      </c>
      <c r="G70" s="8" t="inlineStr">
        <is>
          <t>Obliques (External and internal obliques): primary, 0.7
Glutes (Gluteus maximus and medius): secondary, 0.3
Front shoulders (Deltoid · front head): stabilizer, 0.3</t>
        </is>
      </c>
      <c r="H70" s="8" t="inlineStr">
        <is>
          <t>Bodyweight</t>
        </is>
      </c>
      <c r="I70" s="8" t="inlineStr">
        <is>
          <t>Home, Gym, Outdoors</t>
        </is>
      </c>
      <c r="J70" s="8" t="n">
        <v>1</v>
      </c>
      <c r="K70" s="8" t="inlineStr">
        <is>
          <t>9+ (kids)</t>
        </is>
      </c>
      <c r="L70" s="8" t="inlineStr">
        <is>
          <t>Standing</t>
        </is>
      </c>
      <c r="M70" s="8" t="inlineStr">
        <is>
          <t>Shoulder, Recent surgery, Knee, High blood pressure</t>
        </is>
      </c>
      <c r="N70" s="8" t="inlineStr">
        <is>
          <t>On your side, elbow under shoulder, knees bent; lift hips in line with your body and hold.</t>
        </is>
      </c>
      <c r="O70" s="8" t="inlineStr">
        <is>
          <t>Main work</t>
        </is>
      </c>
      <c r="P70" s="8" t="inlineStr">
        <is>
          <t>Shoulder: Push (hold, no movement)
Lower back: Lean to the side (hold, no movement)
Knee: Kneel (partial)</t>
        </is>
      </c>
      <c r="Q70" s="9" t="n"/>
      <c r="R70" s="9" t="n"/>
    </row>
    <row r="71">
      <c r="A71" s="8" t="n">
        <v>70</v>
      </c>
      <c r="B71" s="8" t="inlineStr">
        <is>
          <t>prone_back_extension</t>
        </is>
      </c>
      <c r="C71" s="8" t="inlineStr">
        <is>
          <t>Prone back extension</t>
        </is>
      </c>
      <c r="D71" s="8" t="inlineStr">
        <is>
          <t>Has video (woman + man)</t>
        </is>
      </c>
      <c r="E71" s="8" t="inlineStr">
        <is>
          <t>prone_back_extension.f.mp4</t>
        </is>
      </c>
      <c r="F71" s="8" t="inlineStr">
        <is>
          <t>prone_back_extension.m.mp4</t>
        </is>
      </c>
      <c r="G71" s="8" t="inlineStr">
        <is>
          <t>Lower back (Erector spinae): primary, 0.7
Glutes (Gluteus maximus and medius): secondary, 0.4
Upper back (Rhomboids and middle trapezius): secondary, 0.3</t>
        </is>
      </c>
      <c r="H71" s="8" t="inlineStr">
        <is>
          <t>Bodyweight</t>
        </is>
      </c>
      <c r="I71" s="8" t="inlineStr">
        <is>
          <t>Home, Gym, Outdoors</t>
        </is>
      </c>
      <c r="J71" s="8" t="n">
        <v>1</v>
      </c>
      <c r="K71" s="8" t="inlineStr">
        <is>
          <t>9+ (kids)</t>
        </is>
      </c>
      <c r="L71" s="8" t="inlineStr">
        <is>
          <t>Standing</t>
        </is>
      </c>
      <c r="M71" s="8" t="inlineStr">
        <is>
          <t>Lower back, Pregnant / postpartum, Recent surgery</t>
        </is>
      </c>
      <c r="N71" s="8" t="inlineStr">
        <is>
          <t>Lie face down, hands by your hips; lift your chest a little, eyes down, then lower slowly.</t>
        </is>
      </c>
      <c r="O71" s="8" t="inlineStr">
        <is>
          <t>Main work</t>
        </is>
      </c>
      <c r="P71" s="8" t="inlineStr">
        <is>
          <t>Lower back: Arch your back (partial)</t>
        </is>
      </c>
      <c r="Q71" s="9" t="n"/>
      <c r="R71" s="9" t="n"/>
    </row>
    <row r="72">
      <c r="A72" s="8" t="n">
        <v>71</v>
      </c>
      <c r="B72" s="8" t="inlineStr">
        <is>
          <t>band_seated_leg_press</t>
        </is>
      </c>
      <c r="C72" s="8" t="inlineStr">
        <is>
          <t>Band seated leg press</t>
        </is>
      </c>
      <c r="D72" s="8" t="inlineStr">
        <is>
          <t>Has video (woman + man)</t>
        </is>
      </c>
      <c r="E72" s="8" t="inlineStr">
        <is>
          <t>band_seated_leg_press.f.mp4</t>
        </is>
      </c>
      <c r="F72" s="8" t="inlineStr">
        <is>
          <t>band_seated_leg_press.m.mp4</t>
        </is>
      </c>
      <c r="G72" s="8" t="inlineStr">
        <is>
          <t>Quads (Quadriceps): primary, 0.7
Glutes (Gluteus maximus and medius): primary, 0.5</t>
        </is>
      </c>
      <c r="H72" s="8" t="inlineStr">
        <is>
          <t>Long resistance bands</t>
        </is>
      </c>
      <c r="I72" s="8" t="inlineStr">
        <is>
          <t>Home, Gym, Outdoors</t>
        </is>
      </c>
      <c r="J72" s="8" t="n">
        <v>1</v>
      </c>
      <c r="K72" s="8" t="inlineStr">
        <is>
          <t>9+ (kids)</t>
        </is>
      </c>
      <c r="L72" s="8" t="inlineStr">
        <is>
          <t>Standing, With support, Seated</t>
        </is>
      </c>
      <c r="M72" s="8" t="inlineStr">
        <is>
          <t>Recent surgery</t>
        </is>
      </c>
      <c r="N72" s="8" t="inlineStr">
        <is>
          <t>Sit tall, band under one foot, ends in hands; push the foot forward until the leg is straight, return.</t>
        </is>
      </c>
      <c r="O72" s="8" t="inlineStr">
        <is>
          <t>Main work</t>
        </is>
      </c>
      <c r="P72" s="8" t="inlineStr">
        <is>
          <t>Knee: Straighten with effort (full)
Hip: Leg behind you (partial)</t>
        </is>
      </c>
      <c r="Q72" s="9" t="n"/>
      <c r="R72" s="9" t="n"/>
    </row>
    <row r="73">
      <c r="A73" s="8" t="n">
        <v>72</v>
      </c>
      <c r="B73" s="8" t="inlineStr">
        <is>
          <t>band_squat</t>
        </is>
      </c>
      <c r="C73" s="8" t="inlineStr">
        <is>
          <t>Band squat</t>
        </is>
      </c>
      <c r="D73" s="8" t="inlineStr">
        <is>
          <t>Has video (woman + man)</t>
        </is>
      </c>
      <c r="E73" s="8" t="inlineStr">
        <is>
          <t>band_squat.f.mp4</t>
        </is>
      </c>
      <c r="F73" s="8" t="inlineStr">
        <is>
          <t>band_squat.m.mp4</t>
        </is>
      </c>
      <c r="G73" s="8" t="inlineStr">
        <is>
          <t>Quads (Quadriceps): primary, 0.7
Glutes (Gluteus maximus and medius): primary, 0.6</t>
        </is>
      </c>
      <c r="H73" s="8" t="inlineStr">
        <is>
          <t>Long resistance bands</t>
        </is>
      </c>
      <c r="I73" s="8" t="inlineStr">
        <is>
          <t>Home, Gym, Outdoors</t>
        </is>
      </c>
      <c r="J73" s="8" t="n">
        <v>1</v>
      </c>
      <c r="K73" s="8" t="inlineStr">
        <is>
          <t>9+ (kids)</t>
        </is>
      </c>
      <c r="L73" s="8" t="inlineStr">
        <is>
          <t>Standing, With support</t>
        </is>
      </c>
      <c r="M73" s="8" t="inlineStr">
        <is>
          <t>Knee, Recent surgery</t>
        </is>
      </c>
      <c r="N73" s="8" t="inlineStr">
        <is>
          <t>Stand on the band, hands at shoulders; sit down as far as comfortable, then push up tall.</t>
        </is>
      </c>
      <c r="O73" s="8" t="inlineStr">
        <is>
          <t>Main work</t>
        </is>
      </c>
      <c r="P73" s="8" t="inlineStr">
        <is>
          <t>Knee: Bend the knee deep (full)
Hip: Deep squat (full)
Ankle: Knee over toes (full)</t>
        </is>
      </c>
      <c r="Q73" s="9" t="n"/>
      <c r="R73" s="9" t="n"/>
    </row>
    <row r="74">
      <c r="A74" s="8" t="n">
        <v>73</v>
      </c>
      <c r="B74" s="8" t="inlineStr">
        <is>
          <t>cable_woodchop</t>
        </is>
      </c>
      <c r="C74" s="8" t="inlineStr">
        <is>
          <t>Cable woodchop</t>
        </is>
      </c>
      <c r="D74" s="8" t="inlineStr">
        <is>
          <t>Has video (woman + man)</t>
        </is>
      </c>
      <c r="E74" s="8" t="inlineStr">
        <is>
          <t>cable_woodchop.f.mp4</t>
        </is>
      </c>
      <c r="F74" s="8" t="inlineStr">
        <is>
          <t>cable_woodchop.m.mp4</t>
        </is>
      </c>
      <c r="G74" s="8" t="inlineStr">
        <is>
          <t>Obliques (External and internal obliques): primary, 0.8
Front shoulders (Deltoid · front head): secondary, 0.3
Upper abs (Rectus abdominis · upper): secondary, 0.3</t>
        </is>
      </c>
      <c r="H74" s="8" t="inlineStr">
        <is>
          <t>Cable station</t>
        </is>
      </c>
      <c r="I74" s="8" t="inlineStr">
        <is>
          <t>Gym</t>
        </is>
      </c>
      <c r="J74" s="8" t="n">
        <v>2</v>
      </c>
      <c r="K74" s="8" t="inlineStr">
        <is>
          <t>13+ (teens)</t>
        </is>
      </c>
      <c r="L74" s="8" t="inlineStr">
        <is>
          <t>Standing</t>
        </is>
      </c>
      <c r="M74" s="8" t="inlineStr">
        <is>
          <t>Lower back, Osteoporosis, Recent surgery</t>
        </is>
      </c>
      <c r="N74" s="8" t="inlineStr">
        <is>
          <t>Cable set high, feet wide; pull the handle down across your body, turning chest and hips together.</t>
        </is>
      </c>
      <c r="O74" s="8" t="inlineStr">
        <is>
          <t>Main work</t>
        </is>
      </c>
      <c r="P74" s="8" t="inlineStr">
        <is>
          <t>Lower back: Twist (partial)
Shoulder: Pull (partial)
Wrist: Grip tight (full)
Knee: Twist on the knee (partial)</t>
        </is>
      </c>
      <c r="Q74" s="9" t="n"/>
      <c r="R74" s="9" t="n"/>
    </row>
    <row r="75">
      <c r="A75" s="8" t="n">
        <v>74</v>
      </c>
      <c r="B75" s="8" t="inlineStr">
        <is>
          <t>bal_seated_weight_shifts</t>
        </is>
      </c>
      <c r="C75" s="8" t="inlineStr">
        <is>
          <t>Seated weight shifts</t>
        </is>
      </c>
      <c r="D75" s="8" t="inlineStr">
        <is>
          <t>Has video (woman + man)</t>
        </is>
      </c>
      <c r="E75" s="8" t="inlineStr">
        <is>
          <t>bal_seated_weight_shifts.f.mp4</t>
        </is>
      </c>
      <c r="F75" s="8" t="inlineStr">
        <is>
          <t>bal_seated_weight_shifts.m.mp4</t>
        </is>
      </c>
      <c r="G75" s="8" t="inlineStr">
        <is>
          <t>Obliques (External and internal obliques): primary, 0.5
Abs (Rectus abdominis): secondary, 0.4
Lower back (Erector spinae): secondary, 0.3</t>
        </is>
      </c>
      <c r="H75" s="8" t="inlineStr">
        <is>
          <t>Bodyweight</t>
        </is>
      </c>
      <c r="I75" s="8" t="inlineStr">
        <is>
          <t>Home, Gym, Outdoors</t>
        </is>
      </c>
      <c r="J75" s="8" t="n">
        <v>1</v>
      </c>
      <c r="K75" s="8" t="inlineStr">
        <is>
          <t>9+ (kids)</t>
        </is>
      </c>
      <c r="L75" s="8" t="inlineStr">
        <is>
          <t>Standing, With support, Seated</t>
        </is>
      </c>
      <c r="M75" s="8" t="inlineStr">
        <is>
          <t>Lower back, Recent surgery</t>
        </is>
      </c>
      <c r="N75" s="8" t="inlineStr">
        <is>
          <t>Sit tall without leaning back and shift your weight slowly to one hip, then the other.</t>
        </is>
      </c>
      <c r="O75" s="8" t="inlineStr">
        <is>
          <t>Main work, Finisher: mobility</t>
        </is>
      </c>
      <c r="P75" s="8" t="inlineStr">
        <is>
          <t>Lower back: Lean to the side (partial)</t>
        </is>
      </c>
      <c r="Q75" s="9" t="n"/>
      <c r="R75" s="9" t="n"/>
    </row>
    <row r="76">
      <c r="A76" s="8" t="n">
        <v>75</v>
      </c>
      <c r="B76" s="8" t="inlineStr">
        <is>
          <t>bal_seated_reach_outs</t>
        </is>
      </c>
      <c r="C76" s="8" t="inlineStr">
        <is>
          <t>Seated reach-outs</t>
        </is>
      </c>
      <c r="D76" s="8" t="inlineStr">
        <is>
          <t>Has video (woman + man)</t>
        </is>
      </c>
      <c r="E76" s="8" t="inlineStr">
        <is>
          <t>bal_seated_reach_outs.f.mp4</t>
        </is>
      </c>
      <c r="F76" s="8" t="inlineStr">
        <is>
          <t>bal_seated_reach_outs.m.mp4</t>
        </is>
      </c>
      <c r="G76" s="8" t="inlineStr">
        <is>
          <t>Abs (Rectus abdominis): primary, 0.5
Obliques (External and internal obliques): secondary, 0.4
Front shoulders (Deltoid · front head): secondary, 0.3</t>
        </is>
      </c>
      <c r="H76" s="8" t="inlineStr">
        <is>
          <t>Bodyweight</t>
        </is>
      </c>
      <c r="I76" s="8" t="inlineStr">
        <is>
          <t>Home, Gym, Outdoors</t>
        </is>
      </c>
      <c r="J76" s="8" t="n">
        <v>1</v>
      </c>
      <c r="K76" s="8" t="inlineStr">
        <is>
          <t>9+ (kids)</t>
        </is>
      </c>
      <c r="L76" s="8" t="inlineStr">
        <is>
          <t>Standing, With support, Seated</t>
        </is>
      </c>
      <c r="M76" s="8" t="inlineStr">
        <is>
          <t>Shoulder, Lower back, Recent surgery</t>
        </is>
      </c>
      <c r="N76" s="8" t="inlineStr">
        <is>
          <t>Sit tall with feet flat and reach forward and to the sides as far as you can stay steady.</t>
        </is>
      </c>
      <c r="O76" s="8" t="inlineStr">
        <is>
          <t>Main work, Finisher: mobility</t>
        </is>
      </c>
      <c r="P76" s="8" t="inlineStr">
        <is>
          <t>Shoulder: Raise arm in front (partial)
Lower back: Bend forward (partial)
Lower back: Twist (partial)</t>
        </is>
      </c>
      <c r="Q76" s="9" t="n"/>
      <c r="R76" s="9" t="n"/>
    </row>
    <row r="77">
      <c r="A77" s="8" t="n">
        <v>76</v>
      </c>
      <c r="B77" s="8" t="inlineStr">
        <is>
          <t>bal_seated_trunk_control</t>
        </is>
      </c>
      <c r="C77" s="8" t="inlineStr">
        <is>
          <t>Seated trunk control</t>
        </is>
      </c>
      <c r="D77" s="8" t="inlineStr">
        <is>
          <t>Has video (woman + man)</t>
        </is>
      </c>
      <c r="E77" s="8" t="inlineStr">
        <is>
          <t>bal_seated_trunk_control.f.mp4</t>
        </is>
      </c>
      <c r="F77" s="8" t="inlineStr">
        <is>
          <t>bal_seated_trunk_control.m.mp4</t>
        </is>
      </c>
      <c r="G77" s="8" t="inlineStr">
        <is>
          <t>Abs (Rectus abdominis): primary, 0.6
Hips (Hip flexors): secondary, 0.4
Lower back (Erector spinae): secondary, 0.3</t>
        </is>
      </c>
      <c r="H77" s="8" t="inlineStr">
        <is>
          <t>Bodyweight</t>
        </is>
      </c>
      <c r="I77" s="8" t="inlineStr">
        <is>
          <t>Home, Gym, Outdoors</t>
        </is>
      </c>
      <c r="J77" s="8" t="n">
        <v>1</v>
      </c>
      <c r="K77" s="8" t="inlineStr">
        <is>
          <t>9+ (kids)</t>
        </is>
      </c>
      <c r="L77" s="8" t="inlineStr">
        <is>
          <t>Standing, With support, Seated</t>
        </is>
      </c>
      <c r="M77" s="8" t="inlineStr">
        <is>
          <t>Recent surgery</t>
        </is>
      </c>
      <c r="N77" s="8" t="inlineStr">
        <is>
          <t>Sit away from the backrest, cross your arms and lift one foot slightly; hold steady, then switch.</t>
        </is>
      </c>
      <c r="O77" s="8" t="inlineStr">
        <is>
          <t>Main work, Finisher: mobility</t>
        </is>
      </c>
      <c r="P77" s="8" t="inlineStr">
        <is>
          <t>Hip: Knee toward chest (hold, no movement)
Knee: Bend the knee deep (hold, no movement)</t>
        </is>
      </c>
      <c r="Q77" s="9" t="n"/>
      <c r="R77" s="9" t="n"/>
    </row>
    <row r="78">
      <c r="A78" s="8" t="n">
        <v>77</v>
      </c>
      <c r="B78" s="8" t="inlineStr">
        <is>
          <t>bal_seated_knee_lift_hold</t>
        </is>
      </c>
      <c r="C78" s="8" t="inlineStr">
        <is>
          <t>Seated knee lift hold</t>
        </is>
      </c>
      <c r="D78" s="8" t="inlineStr">
        <is>
          <t>Has video (woman + man)</t>
        </is>
      </c>
      <c r="E78" s="8" t="inlineStr">
        <is>
          <t>bal_seated_knee_lift_hold.f.mp4</t>
        </is>
      </c>
      <c r="F78" s="8" t="inlineStr">
        <is>
          <t>bal_seated_knee_lift_hold.m.mp4</t>
        </is>
      </c>
      <c r="G78" s="8" t="inlineStr">
        <is>
          <t>Abs (Rectus abdominis): primary, 0.5
Hips (Hip flexors): secondary, 0.4
Obliques (External and internal obliques): secondary, 0.3</t>
        </is>
      </c>
      <c r="H78" s="8" t="inlineStr">
        <is>
          <t>Bodyweight</t>
        </is>
      </c>
      <c r="I78" s="8" t="inlineStr">
        <is>
          <t>Home, Gym, Outdoors</t>
        </is>
      </c>
      <c r="J78" s="8" t="n">
        <v>1</v>
      </c>
      <c r="K78" s="8" t="inlineStr">
        <is>
          <t>9+ (kids)</t>
        </is>
      </c>
      <c r="L78" s="8" t="inlineStr">
        <is>
          <t>Standing, With support, Seated</t>
        </is>
      </c>
      <c r="M78" s="8" t="inlineStr">
        <is>
          <t>Hip, Recent surgery</t>
        </is>
      </c>
      <c r="N78" s="8" t="inlineStr">
        <is>
          <t>Sit tall at the front of the chair, lift one knee a little and hold without leaning back; switch.</t>
        </is>
      </c>
      <c r="O78" s="8" t="inlineStr">
        <is>
          <t>Main work, Finisher: mobility</t>
        </is>
      </c>
      <c r="P78" s="8" t="inlineStr">
        <is>
          <t>Hip: Knee toward chest (partial)
Knee: Bend the knee deep (hold, no movement)</t>
        </is>
      </c>
      <c r="Q78" s="9" t="n"/>
      <c r="R78" s="9" t="n"/>
    </row>
    <row r="79">
      <c r="A79" s="8" t="n">
        <v>78</v>
      </c>
      <c r="B79" s="8" t="inlineStr">
        <is>
          <t>bal_seated_arms_up_hold</t>
        </is>
      </c>
      <c r="C79" s="8" t="inlineStr">
        <is>
          <t>Seated arms-up hold</t>
        </is>
      </c>
      <c r="D79" s="8" t="inlineStr">
        <is>
          <t>Has video (woman + man)</t>
        </is>
      </c>
      <c r="E79" s="8" t="inlineStr">
        <is>
          <t>bal_seated_arms_up_hold.f.mp4</t>
        </is>
      </c>
      <c r="F79" s="8" t="inlineStr">
        <is>
          <t>bal_seated_arms_up_hold.m.mp4</t>
        </is>
      </c>
      <c r="G79" s="8" t="inlineStr">
        <is>
          <t>Abs (Rectus abdominis): primary, 0.5
Lower back (Erector spinae): secondary, 0.4
Front shoulders (Deltoid · front head): secondary, 0.3</t>
        </is>
      </c>
      <c r="H79" s="8" t="inlineStr">
        <is>
          <t>Bodyweight</t>
        </is>
      </c>
      <c r="I79" s="8" t="inlineStr">
        <is>
          <t>Home, Gym, Outdoors</t>
        </is>
      </c>
      <c r="J79" s="8" t="n">
        <v>1</v>
      </c>
      <c r="K79" s="8" t="inlineStr">
        <is>
          <t>9+ (kids)</t>
        </is>
      </c>
      <c r="L79" s="8" t="inlineStr">
        <is>
          <t>Standing, With support, Seated</t>
        </is>
      </c>
      <c r="M79" s="8" t="inlineStr">
        <is>
          <t>Shoulder, Recent surgery</t>
        </is>
      </c>
      <c r="N79" s="8" t="inlineStr">
        <is>
          <t>Sit tall away from the backrest, raise both arms forward to shoulder height and hold steady; breathe.</t>
        </is>
      </c>
      <c r="O79" s="8" t="inlineStr">
        <is>
          <t>Main work, Finisher: mobility</t>
        </is>
      </c>
      <c r="P79" s="8" t="inlineStr">
        <is>
          <t>Shoulder: Raise arm in front (hold, no movement)</t>
        </is>
      </c>
      <c r="Q79" s="9" t="n"/>
      <c r="R79" s="9" t="n"/>
    </row>
    <row r="80">
      <c r="A80" s="8" t="n">
        <v>79</v>
      </c>
      <c r="B80" s="8" t="inlineStr">
        <is>
          <t>bal_chair_single_leg_hold</t>
        </is>
      </c>
      <c r="C80" s="8" t="inlineStr">
        <is>
          <t>Chair-supported knee lift hold</t>
        </is>
      </c>
      <c r="D80" s="8" t="inlineStr">
        <is>
          <t>Has video (woman + man)</t>
        </is>
      </c>
      <c r="E80" s="8" t="inlineStr">
        <is>
          <t>bal_chair_single_leg_hold.f.mp4</t>
        </is>
      </c>
      <c r="F80" s="8" t="inlineStr">
        <is>
          <t>bal_chair_single_leg_hold.m.mp4</t>
        </is>
      </c>
      <c r="G80" s="8" t="inlineStr">
        <is>
          <t>Glutes (Gluteus maximus and medius): primary, 0.5
Calves (Gastrocnemius and soleus): secondary, 0.4
Hips (Hip flexors): secondary, 0.4</t>
        </is>
      </c>
      <c r="H80" s="8" t="inlineStr">
        <is>
          <t>Bodyweight</t>
        </is>
      </c>
      <c r="I80" s="8" t="inlineStr">
        <is>
          <t>Home, Gym, Outdoors</t>
        </is>
      </c>
      <c r="J80" s="8" t="n">
        <v>1</v>
      </c>
      <c r="K80" s="8" t="inlineStr">
        <is>
          <t>9+ (kids)</t>
        </is>
      </c>
      <c r="L80" s="8" t="inlineStr">
        <is>
          <t>Standing, With support</t>
        </is>
      </c>
      <c r="M80" s="8" t="inlineStr">
        <is>
          <t>Ankle / foot, Hip, Recent surgery</t>
        </is>
      </c>
      <c r="N80" s="8" t="inlineStr">
        <is>
          <t>Hold the back of a chair with both hands, lift one knee a little and hold, standing tall.</t>
        </is>
      </c>
      <c r="O80" s="8" t="inlineStr">
        <is>
          <t>Main work, Finisher: mobility</t>
        </is>
      </c>
      <c r="P80" s="8" t="inlineStr">
        <is>
          <t>Ankle: Balance and uneven ground (partial)
Hip: Stand on one leg (partial)
Hip: Knee toward chest (hold, no movement)
Knee: Straighten with effort (hold, no movement)</t>
        </is>
      </c>
      <c r="Q80" s="9" t="n"/>
      <c r="R80" s="9" t="n"/>
    </row>
    <row r="81">
      <c r="A81" s="8" t="n">
        <v>80</v>
      </c>
      <c r="B81" s="8" t="inlineStr">
        <is>
          <t>bal_supported_tandem_stance</t>
        </is>
      </c>
      <c r="C81" s="8" t="inlineStr">
        <is>
          <t>Supported tandem stance</t>
        </is>
      </c>
      <c r="D81" s="8" t="inlineStr">
        <is>
          <t>Has video (woman + man)</t>
        </is>
      </c>
      <c r="E81" s="8" t="inlineStr">
        <is>
          <t>bal_supported_tandem_stance.f.mp4</t>
        </is>
      </c>
      <c r="F81" s="8" t="inlineStr">
        <is>
          <t>bal_supported_tandem_stance.m.mp4</t>
        </is>
      </c>
      <c r="G81" s="8" t="inlineStr">
        <is>
          <t>Calves (Gastrocnemius and soleus): primary, 0.5
Shins (Tibialis anterior): secondary, 0.4
Glutes (Gluteus maximus and medius): secondary, 0.3</t>
        </is>
      </c>
      <c r="H81" s="8" t="inlineStr">
        <is>
          <t>Bodyweight</t>
        </is>
      </c>
      <c r="I81" s="8" t="inlineStr">
        <is>
          <t>Home, Gym, Outdoors</t>
        </is>
      </c>
      <c r="J81" s="8" t="n">
        <v>1</v>
      </c>
      <c r="K81" s="8" t="inlineStr">
        <is>
          <t>9+ (kids)</t>
        </is>
      </c>
      <c r="L81" s="8" t="inlineStr">
        <is>
          <t>Standing, With support</t>
        </is>
      </c>
      <c r="M81" s="8" t="inlineStr">
        <is>
          <t>Ankle / foot, Recent surgery</t>
        </is>
      </c>
      <c r="N81" s="8" t="inlineStr">
        <is>
          <t>Hold a counter and stand with one foot directly in front of the other, heel to toe; hold, then switch.</t>
        </is>
      </c>
      <c r="O81" s="8" t="inlineStr">
        <is>
          <t>Main work, Finisher: mobility</t>
        </is>
      </c>
      <c r="P81" s="8" t="inlineStr">
        <is>
          <t>Ankle: Balance and uneven ground (partial)
Hip: Leg across (hold, no movement)
Knee: Straighten with effort (hold, no movement)</t>
        </is>
      </c>
      <c r="Q81" s="9" t="n"/>
      <c r="R81" s="9" t="n"/>
    </row>
    <row r="82">
      <c r="A82" s="8" t="n">
        <v>81</v>
      </c>
      <c r="B82" s="8" t="inlineStr">
        <is>
          <t>bal_supported_heel_toe_walk</t>
        </is>
      </c>
      <c r="C82" s="8" t="inlineStr">
        <is>
          <t>Supported heel-to-toe walk</t>
        </is>
      </c>
      <c r="D82" s="8" t="inlineStr">
        <is>
          <t>Has video (woman + man)</t>
        </is>
      </c>
      <c r="E82" s="8" t="inlineStr">
        <is>
          <t>bal_supported_heel_toe_walk.f.mp4</t>
        </is>
      </c>
      <c r="F82" s="8" t="inlineStr">
        <is>
          <t>bal_supported_heel_toe_walk.m.mp4</t>
        </is>
      </c>
      <c r="G82" s="8" t="inlineStr">
        <is>
          <t>Calves (Gastrocnemius and soleus): primary, 0.5
Shins (Tibialis anterior): secondary, 0.4
Hips (Hip flexors): secondary, 0.3</t>
        </is>
      </c>
      <c r="H82" s="8" t="inlineStr">
        <is>
          <t>Bodyweight</t>
        </is>
      </c>
      <c r="I82" s="8" t="inlineStr">
        <is>
          <t>Home, Gym, Outdoors</t>
        </is>
      </c>
      <c r="J82" s="8" t="n">
        <v>1</v>
      </c>
      <c r="K82" s="8" t="inlineStr">
        <is>
          <t>9+ (kids)</t>
        </is>
      </c>
      <c r="L82" s="8" t="inlineStr">
        <is>
          <t>Standing, With support</t>
        </is>
      </c>
      <c r="M82" s="8" t="inlineStr">
        <is>
          <t>Ankle / foot, Hip, Recent surgery</t>
        </is>
      </c>
      <c r="N82" s="8" t="inlineStr">
        <is>
          <t>With one hand on a counter or wall, walk slowly placing each heel right in front of the other toes.</t>
        </is>
      </c>
      <c r="O82" s="8" t="inlineStr">
        <is>
          <t>Main work, Finisher: mobility</t>
        </is>
      </c>
      <c r="P82" s="8" t="inlineStr">
        <is>
          <t>Ankle: Balance and uneven ground (full)
Hip: Stand on one leg (partial)
Knee: Straighten with effort (hold, no movement)</t>
        </is>
      </c>
      <c r="Q82" s="9" t="n"/>
      <c r="R82" s="9" t="n"/>
    </row>
    <row r="83">
      <c r="A83" s="8" t="n">
        <v>82</v>
      </c>
      <c r="B83" s="8" t="inlineStr">
        <is>
          <t>bal_supported_side_steps</t>
        </is>
      </c>
      <c r="C83" s="8" t="inlineStr">
        <is>
          <t>Supported side steps</t>
        </is>
      </c>
      <c r="D83" s="8" t="inlineStr">
        <is>
          <t>Has video (woman + man)</t>
        </is>
      </c>
      <c r="E83" s="8" t="inlineStr">
        <is>
          <t>bal_supported_side_steps.f.mp4</t>
        </is>
      </c>
      <c r="F83" s="8" t="inlineStr">
        <is>
          <t>bal_supported_side_steps.m.mp4</t>
        </is>
      </c>
      <c r="G83" s="8" t="inlineStr">
        <is>
          <t>Glutes (Gluteus maximus and medius): primary, 0.5
Hips (Hip flexors): secondary, 0.4
Inner thighs (Hip adductors): secondary, 0.3</t>
        </is>
      </c>
      <c r="H83" s="8" t="inlineStr">
        <is>
          <t>Bodyweight</t>
        </is>
      </c>
      <c r="I83" s="8" t="inlineStr">
        <is>
          <t>Home, Gym, Outdoors</t>
        </is>
      </c>
      <c r="J83" s="8" t="n">
        <v>1</v>
      </c>
      <c r="K83" s="8" t="inlineStr">
        <is>
          <t>9+ (kids)</t>
        </is>
      </c>
      <c r="L83" s="8" t="inlineStr">
        <is>
          <t>Standing, With support</t>
        </is>
      </c>
      <c r="M83" s="8" t="inlineStr">
        <is>
          <t>Hip, Ankle / foot, Recent surgery</t>
        </is>
      </c>
      <c r="N83" s="8" t="inlineStr">
        <is>
          <t>Face a counter with hands on it and take slow side steps, toes forward, then come back.</t>
        </is>
      </c>
      <c r="O83" s="8" t="inlineStr">
        <is>
          <t>Main work, Finisher: mobility</t>
        </is>
      </c>
      <c r="P83" s="8" t="inlineStr">
        <is>
          <t>Hip: Leg out to the side (partial)
Hip: Stand on one leg (partial)
Ankle: Balance and uneven ground (partial)
Knee: Straighten with effort (hold, no movement)</t>
        </is>
      </c>
      <c r="Q83" s="9" t="n"/>
      <c r="R83" s="9" t="n"/>
    </row>
    <row r="84">
      <c r="A84" s="8" t="n">
        <v>83</v>
      </c>
      <c r="B84" s="8" t="inlineStr">
        <is>
          <t>bal_sit_to_stand_hold</t>
        </is>
      </c>
      <c r="C84" s="8" t="inlineStr">
        <is>
          <t>Sit-to-stand balance hold</t>
        </is>
      </c>
      <c r="D84" s="8" t="inlineStr">
        <is>
          <t>Has video (woman + man)</t>
        </is>
      </c>
      <c r="E84" s="8" t="inlineStr">
        <is>
          <t>bal_sit_to_stand_hold.f.mp4</t>
        </is>
      </c>
      <c r="F84" s="8" t="inlineStr">
        <is>
          <t>bal_sit_to_stand_hold.m.mp4</t>
        </is>
      </c>
      <c r="G84" s="8" t="inlineStr">
        <is>
          <t>Quads (Quadriceps): primary, 0.6
Glutes (Gluteus maximus and medius): secondary, 0.5
Calves (Gastrocnemius and soleus): secondary, 0.3</t>
        </is>
      </c>
      <c r="H84" s="8" t="inlineStr">
        <is>
          <t>Bodyweight</t>
        </is>
      </c>
      <c r="I84" s="8" t="inlineStr">
        <is>
          <t>Home, Gym, Outdoors</t>
        </is>
      </c>
      <c r="J84" s="8" t="n">
        <v>1</v>
      </c>
      <c r="K84" s="8" t="inlineStr">
        <is>
          <t>9+ (kids)</t>
        </is>
      </c>
      <c r="L84" s="8" t="inlineStr">
        <is>
          <t>Standing, With support</t>
        </is>
      </c>
      <c r="M84" s="8" t="inlineStr">
        <is>
          <t>Knee, Hip, Ankle / foot, Recent surgery</t>
        </is>
      </c>
      <c r="N84" s="8" t="inlineStr">
        <is>
          <t>Stand up from a chair using the armrests if needed, pause tall for three breaths, then sit slowly.</t>
        </is>
      </c>
      <c r="O84" s="8" t="inlineStr">
        <is>
          <t>Main work, Finisher: mobility</t>
        </is>
      </c>
      <c r="P84" s="8" t="inlineStr">
        <is>
          <t>Knee: Bend the knee deep (partial)
Hip: Knee toward chest (partial)
Ankle: Balance and uneven ground (partial)</t>
        </is>
      </c>
      <c r="Q84" s="9" t="n"/>
      <c r="R84" s="9" t="n"/>
    </row>
    <row r="85">
      <c r="A85" s="8" t="n">
        <v>84</v>
      </c>
      <c r="B85" s="8" t="inlineStr">
        <is>
          <t>rx_front_rack_hold</t>
        </is>
      </c>
      <c r="C85" s="8" t="inlineStr">
        <is>
          <t>Goblet carry hold</t>
        </is>
      </c>
      <c r="D85" s="8" t="inlineStr">
        <is>
          <t>Has video (woman + man)</t>
        </is>
      </c>
      <c r="E85" s="8" t="inlineStr">
        <is>
          <t>rx_front_rack_hold.f.mp4</t>
        </is>
      </c>
      <c r="F85" s="8" t="inlineStr">
        <is>
          <t>rx_front_rack_hold.m.mp4</t>
        </is>
      </c>
      <c r="G85" s="8" t="inlineStr">
        <is>
          <t>Abs (Rectus abdominis): primary, 0.6
Biceps (Biceps brachii): secondary, 0.5
Forearms (Wrist flexors and extensors): secondary, 0.5</t>
        </is>
      </c>
      <c r="H85" s="8" t="inlineStr">
        <is>
          <t>Dumbbells</t>
        </is>
      </c>
      <c r="I85" s="8" t="inlineStr">
        <is>
          <t>Home, Gym, Outdoors</t>
        </is>
      </c>
      <c r="J85" s="8" t="n">
        <v>1</v>
      </c>
      <c r="K85" s="8" t="inlineStr">
        <is>
          <t>13+ (teens)</t>
        </is>
      </c>
      <c r="L85" s="8" t="inlineStr">
        <is>
          <t>Standing</t>
        </is>
      </c>
      <c r="M85" s="8" t="inlineStr">
        <is>
          <t>Recent surgery</t>
        </is>
      </c>
      <c r="N85" s="8" t="inlineStr">
        <is>
          <t>Hold one dumbbell upright against your chest, elbows in, stand tall and breathe steadily.</t>
        </is>
      </c>
      <c r="O85" s="8" t="inlineStr">
        <is>
          <t>Main work</t>
        </is>
      </c>
      <c r="P85" s="8" t="inlineStr">
        <is>
          <t>Shoulder: Carry weight (hold, no movement)
Elbow: Bend elbow with weight (hold, no movement)
Wrist: Grip tight (hold, no movement)
Lower back: Arch your back (hold, no movement)
Knee: Straighten with effort (hold, no movement)</t>
        </is>
      </c>
      <c r="Q85" s="9" t="n"/>
      <c r="R85" s="9" t="n"/>
    </row>
    <row r="86">
      <c r="A86" s="8" t="n">
        <v>85</v>
      </c>
      <c r="B86" s="8" t="inlineStr">
        <is>
          <t>rx_high_box_squat</t>
        </is>
      </c>
      <c r="C86" s="8" t="inlineStr">
        <is>
          <t>High box squat</t>
        </is>
      </c>
      <c r="D86" s="8" t="inlineStr">
        <is>
          <t>Has video (woman + man)</t>
        </is>
      </c>
      <c r="E86" s="8" t="inlineStr">
        <is>
          <t>rx_high_box_squat.f.mp4</t>
        </is>
      </c>
      <c r="F86" s="8" t="inlineStr">
        <is>
          <t>rx_high_box_squat.m.mp4</t>
        </is>
      </c>
      <c r="G86" s="8" t="inlineStr">
        <is>
          <t>Quads (Quadriceps): primary, 0.8
Glutes (Gluteus maximus and medius): secondary, 0.6</t>
        </is>
      </c>
      <c r="H86" s="8" t="inlineStr">
        <is>
          <t>Bodyweight</t>
        </is>
      </c>
      <c r="I86" s="8" t="inlineStr">
        <is>
          <t>Home, Gym, Outdoors</t>
        </is>
      </c>
      <c r="J86" s="8" t="n">
        <v>1</v>
      </c>
      <c r="K86" s="8" t="inlineStr">
        <is>
          <t>13+ (teens)</t>
        </is>
      </c>
      <c r="L86" s="8" t="inlineStr">
        <is>
          <t>Standing, With support</t>
        </is>
      </c>
      <c r="M86" s="8" t="inlineStr">
        <is>
          <t>Knee, Hip, Ankle / foot, Recent surgery</t>
        </is>
      </c>
      <c r="N86" s="8" t="inlineStr">
        <is>
          <t>Sit back to a high chair or box, tap it lightly and stand up, depth only as far as pain-free.</t>
        </is>
      </c>
      <c r="O86" s="8" t="inlineStr">
        <is>
          <t>Main work</t>
        </is>
      </c>
      <c r="P86" s="8" t="inlineStr">
        <is>
          <t>Knee: Bend the knee deep (partial)
Hip: Deep squat (partial)
Ankle: Knee over toes (partial)</t>
        </is>
      </c>
      <c r="Q86" s="9" t="n"/>
      <c r="R86" s="9" t="n"/>
    </row>
    <row r="87">
      <c r="A87" s="8" t="n">
        <v>86</v>
      </c>
      <c r="B87" s="8" t="inlineStr">
        <is>
          <t>rx_low_step_up</t>
        </is>
      </c>
      <c r="C87" s="8" t="inlineStr">
        <is>
          <t>Supported low step-up</t>
        </is>
      </c>
      <c r="D87" s="8" t="inlineStr">
        <is>
          <t>Has video (woman + man)</t>
        </is>
      </c>
      <c r="E87" s="8" t="inlineStr">
        <is>
          <t>rx_low_step_up.f.mp4</t>
        </is>
      </c>
      <c r="F87" s="8" t="inlineStr">
        <is>
          <t>rx_low_step_up.m.mp4</t>
        </is>
      </c>
      <c r="G87" s="8" t="inlineStr">
        <is>
          <t>Quads (Quadriceps): primary, 0.8
Glutes (Gluteus maximus and medius): secondary, 0.5</t>
        </is>
      </c>
      <c r="H87" s="8" t="inlineStr">
        <is>
          <t>Bodyweight</t>
        </is>
      </c>
      <c r="I87" s="8" t="inlineStr">
        <is>
          <t>Home, Gym, Outdoors</t>
        </is>
      </c>
      <c r="J87" s="8" t="n">
        <v>1</v>
      </c>
      <c r="K87" s="8" t="inlineStr">
        <is>
          <t>13+ (teens)</t>
        </is>
      </c>
      <c r="L87" s="8" t="inlineStr">
        <is>
          <t>Standing, With support</t>
        </is>
      </c>
      <c r="M87" s="8" t="inlineStr">
        <is>
          <t>Knee, Hip, Ankle / foot, Recent surgery</t>
        </is>
      </c>
      <c r="N87" s="8" t="inlineStr">
        <is>
          <t>Hold a rail, step up onto a low step with the whole foot, stand tall, and step down slowly.</t>
        </is>
      </c>
      <c r="O87" s="8" t="inlineStr">
        <is>
          <t>Main work</t>
        </is>
      </c>
      <c r="P87" s="8" t="inlineStr">
        <is>
          <t>Knee: Stairs (partial)
Hip: Stand on one leg (partial)
Ankle: Balance and uneven ground (partial)</t>
        </is>
      </c>
      <c r="Q87" s="9" t="n"/>
      <c r="R87" s="9" t="n"/>
    </row>
    <row r="88">
      <c r="A88" s="8" t="n">
        <v>87</v>
      </c>
      <c r="B88" s="8" t="inlineStr">
        <is>
          <t>seated_towel_press_up</t>
        </is>
      </c>
      <c r="C88" s="8" t="inlineStr">
        <is>
          <t>Seated towel press, angled up</t>
        </is>
      </c>
      <c r="D88" s="8" t="inlineStr">
        <is>
          <t>Has video (woman + man)</t>
        </is>
      </c>
      <c r="E88" s="8" t="inlineStr">
        <is>
          <t>seated_towel_press_up.f.mp4</t>
        </is>
      </c>
      <c r="F88" s="8" t="inlineStr">
        <is>
          <t>seated_towel_press_up.m.mp4</t>
        </is>
      </c>
      <c r="G88" s="8" t="inlineStr">
        <is>
          <t>Upper chest (Pectoralis major · clavicular head): primary, 0.5
Front shoulders (Deltoid · front head): secondary, 0.4</t>
        </is>
      </c>
      <c r="H88" s="8" t="inlineStr">
        <is>
          <t>Bodyweight</t>
        </is>
      </c>
      <c r="I88" s="8" t="inlineStr">
        <is>
          <t>Home, Gym, Outdoors</t>
        </is>
      </c>
      <c r="J88" s="8" t="n">
        <v>1</v>
      </c>
      <c r="K88" s="8" t="inlineStr">
        <is>
          <t>9+ (kids)</t>
        </is>
      </c>
      <c r="L88" s="8" t="inlineStr">
        <is>
          <t>Seated, With support, Standing</t>
        </is>
      </c>
      <c r="M88" s="8" t="inlineStr">
        <is>
          <t>Recent surgery</t>
        </is>
      </c>
      <c r="N88" s="8" t="inlineStr">
        <is>
          <t>Hold a towel stretched between both hands at chest height, angled up, and pull it apart-hard while pressing forward.</t>
        </is>
      </c>
      <c r="O88" s="8" t="inlineStr">
        <is>
          <t>Main work</t>
        </is>
      </c>
      <c r="P88" s="8" t="inlineStr">
        <is>
          <t>Shoulder: Push (hold, no movement)
Shoulder: Raise arm in front (hold, no movement)</t>
        </is>
      </c>
      <c r="Q88" s="9" t="n"/>
      <c r="R88" s="9" t="n"/>
    </row>
    <row r="89">
      <c r="A89" s="8" t="n">
        <v>88</v>
      </c>
      <c r="B89" s="8" t="inlineStr">
        <is>
          <t>seated_elbow_drive</t>
        </is>
      </c>
      <c r="C89" s="8" t="inlineStr">
        <is>
          <t>Seated elbow drive</t>
        </is>
      </c>
      <c r="D89" s="8" t="inlineStr">
        <is>
          <t>Has video (woman + man)</t>
        </is>
      </c>
      <c r="E89" s="8" t="inlineStr">
        <is>
          <t>seated_elbow_drive.f.mp4</t>
        </is>
      </c>
      <c r="F89" s="8" t="inlineStr">
        <is>
          <t>seated_elbow_drive.m.mp4</t>
        </is>
      </c>
      <c r="G89" s="8" t="inlineStr">
        <is>
          <t>Upper back (Rhomboids and middle trapezius): primary, 0.6
Rear shoulders (Deltoid · rear head): secondary, 0.4</t>
        </is>
      </c>
      <c r="H89" s="8" t="inlineStr">
        <is>
          <t>Bodyweight</t>
        </is>
      </c>
      <c r="I89" s="8" t="inlineStr">
        <is>
          <t>Home, Gym, Outdoors</t>
        </is>
      </c>
      <c r="J89" s="8" t="n">
        <v>1</v>
      </c>
      <c r="K89" s="8" t="inlineStr">
        <is>
          <t>9+ (kids)</t>
        </is>
      </c>
      <c r="L89" s="8" t="inlineStr">
        <is>
          <t>Seated, With support, Standing</t>
        </is>
      </c>
      <c r="M89" s="8" t="inlineStr">
        <is>
          <t>Shoulder, Recent surgery</t>
        </is>
      </c>
      <c r="N89" s="8" t="inlineStr">
        <is>
          <t>Sitting tall, pull the elbows back and squeeze the shoulder blades for 3 s; repeat.</t>
        </is>
      </c>
      <c r="O89" s="8" t="inlineStr">
        <is>
          <t>Main work</t>
        </is>
      </c>
      <c r="P89" s="8" t="inlineStr">
        <is>
          <t>Shoulder: Pull (partial)</t>
        </is>
      </c>
      <c r="Q89" s="9" t="n"/>
      <c r="R89" s="9" t="n"/>
    </row>
    <row r="90">
      <c r="A90" s="8" t="n">
        <v>89</v>
      </c>
      <c r="B90" s="8" t="inlineStr">
        <is>
          <t>seated_towel_row_hold</t>
        </is>
      </c>
      <c r="C90" s="8" t="inlineStr">
        <is>
          <t>Seated towel row hold</t>
        </is>
      </c>
      <c r="D90" s="8" t="inlineStr">
        <is>
          <t>Has video (woman + man)</t>
        </is>
      </c>
      <c r="E90" s="8" t="inlineStr">
        <is>
          <t>seated_towel_row_hold.f.mp4</t>
        </is>
      </c>
      <c r="F90" s="8" t="inlineStr">
        <is>
          <t>seated_towel_row_hold.m.mp4</t>
        </is>
      </c>
      <c r="G90" s="8" t="inlineStr">
        <is>
          <t>Upper back (Rhomboids and middle trapezius): primary, 0.6
Biceps (Biceps brachii): secondary, 0.3
Lats (Latissimus dorsi): secondary, 0.3</t>
        </is>
      </c>
      <c r="H90" s="8" t="inlineStr">
        <is>
          <t>Bodyweight</t>
        </is>
      </c>
      <c r="I90" s="8" t="inlineStr">
        <is>
          <t>Home, Gym, Outdoors</t>
        </is>
      </c>
      <c r="J90" s="8" t="n">
        <v>1</v>
      </c>
      <c r="K90" s="8" t="inlineStr">
        <is>
          <t>9+ (kids)</t>
        </is>
      </c>
      <c r="L90" s="8" t="inlineStr">
        <is>
          <t>Seated, With support</t>
        </is>
      </c>
      <c r="M90" s="8" t="inlineStr">
        <is>
          <t>Recent surgery</t>
        </is>
      </c>
      <c r="N90" s="8" t="inlineStr">
        <is>
          <t>Loop a towel around your feet, sit tall and pull it toward you, squeezing the back for 10 s.</t>
        </is>
      </c>
      <c r="O90" s="8" t="inlineStr">
        <is>
          <t>Main work</t>
        </is>
      </c>
      <c r="P90" s="8" t="inlineStr">
        <is>
          <t>Shoulder: Pull (hold, no movement)
Elbow: Bend elbow with weight (hold, no movement)
Wrist: Grip tight (hold, no movement)</t>
        </is>
      </c>
      <c r="Q90" s="9" t="n"/>
      <c r="R90" s="9" t="n"/>
    </row>
    <row r="91">
      <c r="A91" s="8" t="n">
        <v>90</v>
      </c>
      <c r="B91" s="8" t="inlineStr">
        <is>
          <t>seated_arms_back_lift</t>
        </is>
      </c>
      <c r="C91" s="8" t="inlineStr">
        <is>
          <t>Seated reverse fly (no weight)</t>
        </is>
      </c>
      <c r="D91" s="8" t="inlineStr">
        <is>
          <t>Has video (woman + man)</t>
        </is>
      </c>
      <c r="E91" s="8" t="inlineStr">
        <is>
          <t>seated_arms_back_lift.f.mp4</t>
        </is>
      </c>
      <c r="F91" s="8" t="inlineStr">
        <is>
          <t>seated_arms_back_lift.m.mp4</t>
        </is>
      </c>
      <c r="G91" s="8" t="inlineStr">
        <is>
          <t>Rear shoulders (Deltoid · rear head): primary, 0.6
Upper back (Rhomboids and middle trapezius): secondary, 0.4</t>
        </is>
      </c>
      <c r="H91" s="8" t="inlineStr">
        <is>
          <t>Bodyweight</t>
        </is>
      </c>
      <c r="I91" s="8" t="inlineStr">
        <is>
          <t>Home, Gym, Outdoors</t>
        </is>
      </c>
      <c r="J91" s="8" t="n">
        <v>1</v>
      </c>
      <c r="K91" s="8" t="inlineStr">
        <is>
          <t>9+ (kids)</t>
        </is>
      </c>
      <c r="L91" s="8" t="inlineStr">
        <is>
          <t>Seated, With support</t>
        </is>
      </c>
      <c r="M91" s="8" t="inlineStr">
        <is>
          <t>Lower back</t>
        </is>
      </c>
      <c r="N91" s="8" t="inlineStr">
        <is>
          <t>Lean forward slightly, arms hanging, lift them out to the sides to shoulder height, and lower slowly.</t>
        </is>
      </c>
      <c r="O91" s="8" t="inlineStr">
        <is>
          <t>Main work</t>
        </is>
      </c>
      <c r="P91" s="8" t="inlineStr">
        <is>
          <t>Shoulder: Raise arm to the side (partial)
Shoulder: Pull (partial)</t>
        </is>
      </c>
      <c r="Q91" s="9" t="n"/>
      <c r="R91" s="9" t="n"/>
    </row>
    <row r="92">
      <c r="A92" s="8" t="n">
        <v>91</v>
      </c>
      <c r="B92" s="8" t="inlineStr">
        <is>
          <t>su_seated_towel_overhead_press</t>
        </is>
      </c>
      <c r="C92" s="8" t="inlineStr">
        <is>
          <t>Seated towel overhead press</t>
        </is>
      </c>
      <c r="D92" s="8" t="inlineStr">
        <is>
          <t>Has video (woman + man)</t>
        </is>
      </c>
      <c r="E92" s="8" t="inlineStr">
        <is>
          <t>su_seated_towel_overhead_press.f.mp4</t>
        </is>
      </c>
      <c r="F92" s="8" t="inlineStr">
        <is>
          <t>su_seated_towel_overhead_press.m.mp4</t>
        </is>
      </c>
      <c r="G92" s="8" t="inlineStr">
        <is>
          <t>Front shoulders (Deltoid · front head): primary, 0.7
Triceps (Triceps brachii): secondary, 0.4
Traps (Trapezius): secondary, 0.3</t>
        </is>
      </c>
      <c r="H92" s="8" t="inlineStr">
        <is>
          <t>Bodyweight</t>
        </is>
      </c>
      <c r="I92" s="8" t="inlineStr">
        <is>
          <t>Home, Gym</t>
        </is>
      </c>
      <c r="J92" s="8" t="n">
        <v>1</v>
      </c>
      <c r="K92" s="8" t="inlineStr">
        <is>
          <t>9+ (kids)</t>
        </is>
      </c>
      <c r="L92" s="8" t="inlineStr">
        <is>
          <t>Standing, With support, Seated</t>
        </is>
      </c>
      <c r="M92" s="8" t="inlineStr">
        <is>
          <t>Shoulder, Neck, Recent surgery</t>
        </is>
      </c>
      <c r="N92" s="8" t="inlineStr">
        <is>
          <t>Hold a towel taut at shoulder height, press it overhead while pulling the ends apart, then lower.</t>
        </is>
      </c>
      <c r="O92" s="8" t="inlineStr">
        <is>
          <t>Main work</t>
        </is>
      </c>
      <c r="P92" s="8" t="inlineStr">
        <is>
          <t>Shoulder: Arm overhead (full)
Elbow: Straighten elbow with weight (full)
Wrist: Grip tight (partial)</t>
        </is>
      </c>
      <c r="Q92" s="9" t="n"/>
      <c r="R92" s="9" t="n"/>
    </row>
    <row r="93">
      <c r="A93" s="8" t="n">
        <v>92</v>
      </c>
      <c r="B93" s="8" t="inlineStr">
        <is>
          <t>su_seated_elbow_squeeze_fly</t>
        </is>
      </c>
      <c r="C93" s="8" t="inlineStr">
        <is>
          <t>Seated elbow squeeze fly</t>
        </is>
      </c>
      <c r="D93" s="8" t="inlineStr">
        <is>
          <t>Has video (woman + man)</t>
        </is>
      </c>
      <c r="E93" s="8" t="inlineStr">
        <is>
          <t>su_seated_elbow_squeeze_fly.f.mp4</t>
        </is>
      </c>
      <c r="F93" s="8" t="inlineStr">
        <is>
          <t>su_seated_elbow_squeeze_fly.m.mp4</t>
        </is>
      </c>
      <c r="G93" s="8" t="inlineStr">
        <is>
          <t>Mid chest (Pectoralis major · sternal head): primary, 0.6
Front shoulders (Deltoid · front head): secondary, 0.3</t>
        </is>
      </c>
      <c r="H93" s="8" t="inlineStr">
        <is>
          <t>Bodyweight</t>
        </is>
      </c>
      <c r="I93" s="8" t="inlineStr">
        <is>
          <t>Home, Gym, Outdoors</t>
        </is>
      </c>
      <c r="J93" s="8" t="n">
        <v>1</v>
      </c>
      <c r="K93" s="8" t="inlineStr">
        <is>
          <t>9+ (kids)</t>
        </is>
      </c>
      <c r="L93" s="8" t="inlineStr">
        <is>
          <t>Standing, With support, Seated</t>
        </is>
      </c>
      <c r="M93" s="8" t="inlineStr">
        <is>
          <t>Shoulder, Recent surgery</t>
        </is>
      </c>
      <c r="N93" s="8" t="inlineStr">
        <is>
          <t>Arms bent at shoulder height, bring forearms together in front, squeeze your chest, then open.</t>
        </is>
      </c>
      <c r="O93" s="8" t="inlineStr">
        <is>
          <t>Main work</t>
        </is>
      </c>
      <c r="P93" s="8" t="inlineStr">
        <is>
          <t>Shoulder: Push (full)</t>
        </is>
      </c>
      <c r="Q93" s="9" t="n"/>
      <c r="R93" s="9" t="n"/>
    </row>
    <row r="94">
      <c r="A94" s="8" t="n">
        <v>93</v>
      </c>
      <c r="B94" s="8" t="inlineStr">
        <is>
          <t>su_seated_palm_press_slide</t>
        </is>
      </c>
      <c r="C94" s="8" t="inlineStr">
        <is>
          <t>Seated palm press push-out</t>
        </is>
      </c>
      <c r="D94" s="8" t="inlineStr">
        <is>
          <t>Has video (woman + man)</t>
        </is>
      </c>
      <c r="E94" s="8" t="inlineStr">
        <is>
          <t>su_seated_palm_press_slide.f.mp4</t>
        </is>
      </c>
      <c r="F94" s="8" t="inlineStr">
        <is>
          <t>su_seated_palm_press_slide.m.mp4</t>
        </is>
      </c>
      <c r="G94" s="8" t="inlineStr">
        <is>
          <t>Mid chest (Pectoralis major · sternal head): primary, 0.7
Triceps (Triceps brachii): secondary, 0.3
Front shoulders (Deltoid · front head): secondary, 0.3</t>
        </is>
      </c>
      <c r="H94" s="8" t="inlineStr">
        <is>
          <t>Bodyweight</t>
        </is>
      </c>
      <c r="I94" s="8" t="inlineStr">
        <is>
          <t>Home, Gym, Outdoors</t>
        </is>
      </c>
      <c r="J94" s="8" t="n">
        <v>1</v>
      </c>
      <c r="K94" s="8" t="inlineStr">
        <is>
          <t>9+ (kids)</t>
        </is>
      </c>
      <c r="L94" s="8" t="inlineStr">
        <is>
          <t>Standing, With support, Seated</t>
        </is>
      </c>
      <c r="M94" s="8" t="inlineStr">
        <is>
          <t>Shoulder, Elbow / wrist, Recent surgery</t>
        </is>
      </c>
      <c r="N94" s="8" t="inlineStr">
        <is>
          <t>Press palms together hard at your chest, push them forward until arms are nearly straight, then return.</t>
        </is>
      </c>
      <c r="O94" s="8" t="inlineStr">
        <is>
          <t>Main work</t>
        </is>
      </c>
      <c r="P94" s="8" t="inlineStr">
        <is>
          <t>Shoulder: Push (partial)
Elbow: Straighten elbow with weight (partial)</t>
        </is>
      </c>
      <c r="Q94" s="9" t="n"/>
      <c r="R94" s="9" t="n"/>
    </row>
    <row r="95">
      <c r="A95" s="8" t="n">
        <v>94</v>
      </c>
      <c r="B95" s="8" t="inlineStr">
        <is>
          <t>su_seated_low_crossover</t>
        </is>
      </c>
      <c r="C95" s="8" t="inlineStr">
        <is>
          <t>Seated low cross-over</t>
        </is>
      </c>
      <c r="D95" s="8" t="inlineStr">
        <is>
          <t>Has video (woman + man)</t>
        </is>
      </c>
      <c r="E95" s="8" t="inlineStr">
        <is>
          <t>su_seated_low_crossover.f.mp4</t>
        </is>
      </c>
      <c r="F95" s="8" t="inlineStr">
        <is>
          <t>su_seated_low_crossover.m.mp4</t>
        </is>
      </c>
      <c r="G95" s="8" t="inlineStr">
        <is>
          <t>Lower chest (Pectoralis major · lower fibers): primary, 0.6
Front shoulders (Deltoid · front head): secondary, 0.3</t>
        </is>
      </c>
      <c r="H95" s="8" t="inlineStr">
        <is>
          <t>Bodyweight</t>
        </is>
      </c>
      <c r="I95" s="8" t="inlineStr">
        <is>
          <t>Home, Gym, Outdoors</t>
        </is>
      </c>
      <c r="J95" s="8" t="n">
        <v>1</v>
      </c>
      <c r="K95" s="8" t="inlineStr">
        <is>
          <t>9+ (kids)</t>
        </is>
      </c>
      <c r="L95" s="8" t="inlineStr">
        <is>
          <t>Standing, With support, Seated</t>
        </is>
      </c>
      <c r="M95" s="8" t="inlineStr">
        <is>
          <t>Shoulder, Recent surgery</t>
        </is>
      </c>
      <c r="N95" s="8" t="inlineStr">
        <is>
          <t>Start with arms out wide and slightly high, sweep them down to cross in front of your hips, squeeze.</t>
        </is>
      </c>
      <c r="O95" s="8" t="inlineStr">
        <is>
          <t>Main work</t>
        </is>
      </c>
      <c r="P95" s="8" t="inlineStr">
        <is>
          <t>Shoulder: Push (full)
Shoulder: Raise arm in front (partial)</t>
        </is>
      </c>
      <c r="Q95" s="9" t="n"/>
      <c r="R95" s="9" t="n"/>
    </row>
    <row r="96">
      <c r="A96" s="8" t="n">
        <v>95</v>
      </c>
      <c r="B96" s="8" t="inlineStr">
        <is>
          <t>su_seated_diagonal_palm_press</t>
        </is>
      </c>
      <c r="C96" s="8" t="inlineStr">
        <is>
          <t>Seated downward palm push</t>
        </is>
      </c>
      <c r="D96" s="8" t="inlineStr">
        <is>
          <t>Has video (woman + man)</t>
        </is>
      </c>
      <c r="E96" s="8" t="inlineStr">
        <is>
          <t>su_seated_diagonal_palm_press.f.mp4</t>
        </is>
      </c>
      <c r="F96" s="8" t="inlineStr">
        <is>
          <t>su_seated_diagonal_palm_press.m.mp4</t>
        </is>
      </c>
      <c r="G96" s="8" t="inlineStr">
        <is>
          <t>Lower chest (Pectoralis major · lower fibers): primary, 0.7
Triceps (Triceps brachii): secondary, 0.3
Mid chest (Pectoralis major · sternal head): secondary, 0.3</t>
        </is>
      </c>
      <c r="H96" s="8" t="inlineStr">
        <is>
          <t>Bodyweight</t>
        </is>
      </c>
      <c r="I96" s="8" t="inlineStr">
        <is>
          <t>Home, Gym, Outdoors</t>
        </is>
      </c>
      <c r="J96" s="8" t="n">
        <v>1</v>
      </c>
      <c r="K96" s="8" t="inlineStr">
        <is>
          <t>9+ (kids)</t>
        </is>
      </c>
      <c r="L96" s="8" t="inlineStr">
        <is>
          <t>Standing, With support, Seated</t>
        </is>
      </c>
      <c r="M96" s="8" t="inlineStr">
        <is>
          <t>Shoulder, Elbow / wrist, Recent surgery</t>
        </is>
      </c>
      <c r="N96" s="8" t="inlineStr">
        <is>
          <t>Press palms together at your chest and push them down and forward toward your knees, then return.</t>
        </is>
      </c>
      <c r="O96" s="8" t="inlineStr">
        <is>
          <t>Main work</t>
        </is>
      </c>
      <c r="P96" s="8" t="inlineStr">
        <is>
          <t>Shoulder: Push (partial)
Elbow: Straighten elbow with weight (partial)</t>
        </is>
      </c>
      <c r="Q96" s="9" t="n"/>
      <c r="R96" s="9" t="n"/>
    </row>
    <row r="97">
      <c r="A97" s="8" t="n">
        <v>96</v>
      </c>
      <c r="B97" s="8" t="inlineStr">
        <is>
          <t>su_seated_leg_lift_curl</t>
        </is>
      </c>
      <c r="C97" s="8" t="inlineStr">
        <is>
          <t>Seated leg-lift curl</t>
        </is>
      </c>
      <c r="D97" s="8" t="inlineStr">
        <is>
          <t>Has video (woman + man)</t>
        </is>
      </c>
      <c r="E97" s="8" t="inlineStr">
        <is>
          <t>su_seated_leg_lift_curl.f.mp4</t>
        </is>
      </c>
      <c r="F97" s="8" t="inlineStr">
        <is>
          <t>su_seated_leg_lift_curl.m.mp4</t>
        </is>
      </c>
      <c r="G97" s="8" t="inlineStr">
        <is>
          <t>Biceps (Biceps brachii): primary, 0.7
Forearms (Wrist flexors and extensors): secondary, 0.3</t>
        </is>
      </c>
      <c r="H97" s="8" t="inlineStr">
        <is>
          <t>Bodyweight</t>
        </is>
      </c>
      <c r="I97" s="8" t="inlineStr">
        <is>
          <t>Home, Gym</t>
        </is>
      </c>
      <c r="J97" s="8" t="n">
        <v>1</v>
      </c>
      <c r="K97" s="8" t="inlineStr">
        <is>
          <t>13+ (teens)</t>
        </is>
      </c>
      <c r="L97" s="8" t="inlineStr">
        <is>
          <t>Standing, With support, Seated</t>
        </is>
      </c>
      <c r="M97" s="8" t="inlineStr">
        <is>
          <t>Elbow / wrist, Lower back, Recent surgery</t>
        </is>
      </c>
      <c r="N97" s="8" t="inlineStr">
        <is>
          <t>Sit tall, clasp hands under one thigh and curl it up with your arms, letting the leg relax.</t>
        </is>
      </c>
      <c r="O97" s="8" t="inlineStr">
        <is>
          <t>Main work</t>
        </is>
      </c>
      <c r="P97" s="8" t="inlineStr">
        <is>
          <t>Elbow: Bend elbow with weight (full)
Wrist: Grip tight (partial)
Knee: Bend the knee deep (partial)</t>
        </is>
      </c>
      <c r="Q97" s="9" t="n"/>
      <c r="R97" s="9" t="n"/>
    </row>
    <row r="98">
      <c r="A98" s="8" t="n">
        <v>97</v>
      </c>
      <c r="B98" s="8" t="inlineStr">
        <is>
          <t>su_seated_table_press_down_hold</t>
        </is>
      </c>
      <c r="C98" s="8" t="inlineStr">
        <is>
          <t>Table press-down hold</t>
        </is>
      </c>
      <c r="D98" s="8" t="inlineStr">
        <is>
          <t>Has video (woman + man)</t>
        </is>
      </c>
      <c r="E98" s="8" t="inlineStr">
        <is>
          <t>su_seated_table_press_down_hold.f.mp4</t>
        </is>
      </c>
      <c r="F98" s="8" t="inlineStr">
        <is>
          <t>su_seated_table_press_down_hold.m.mp4</t>
        </is>
      </c>
      <c r="G98" s="8" t="inlineStr">
        <is>
          <t>Triceps (Triceps brachii): primary, 0.7
Lower chest (Pectoralis major · lower fibers): secondary, 0.3
Lats (Latissimus dorsi): secondary, 0.3</t>
        </is>
      </c>
      <c r="H98" s="8" t="inlineStr">
        <is>
          <t>Bodyweight</t>
        </is>
      </c>
      <c r="I98" s="8" t="inlineStr">
        <is>
          <t>Home, Gym</t>
        </is>
      </c>
      <c r="J98" s="8" t="n">
        <v>1</v>
      </c>
      <c r="K98" s="8" t="inlineStr">
        <is>
          <t>9+ (kids)</t>
        </is>
      </c>
      <c r="L98" s="8" t="inlineStr">
        <is>
          <t>Standing, With support, Seated</t>
        </is>
      </c>
      <c r="M98" s="8" t="inlineStr">
        <is>
          <t>Elbow / wrist, Shoulder, Recent surgery</t>
        </is>
      </c>
      <c r="N98" s="8" t="inlineStr">
        <is>
          <t>Sit at a table, palms flat, elbows slightly bent; press down hard as if to rise and hold.</t>
        </is>
      </c>
      <c r="O98" s="8" t="inlineStr">
        <is>
          <t>Main work</t>
        </is>
      </c>
      <c r="P98" s="8" t="inlineStr">
        <is>
          <t>Elbow: Straighten elbow with weight (hold, no movement)
Wrist: Weight on your hands (hold, no movement)
Shoulder: Push (hold, no movement)</t>
        </is>
      </c>
      <c r="Q98" s="9" t="n"/>
      <c r="R98" s="9" t="n"/>
    </row>
    <row r="99">
      <c r="A99" s="8" t="n">
        <v>98</v>
      </c>
      <c r="B99" s="8" t="inlineStr">
        <is>
          <t>su_seated_finger_spread_squeeze</t>
        </is>
      </c>
      <c r="C99" s="8" t="inlineStr">
        <is>
          <t>Fist and finger spread</t>
        </is>
      </c>
      <c r="D99" s="8" t="inlineStr">
        <is>
          <t>Has video (woman + man)</t>
        </is>
      </c>
      <c r="E99" s="8" t="inlineStr">
        <is>
          <t>su_seated_finger_spread_squeeze.f.mp4</t>
        </is>
      </c>
      <c r="F99" s="8" t="inlineStr">
        <is>
          <t>su_seated_finger_spread_squeeze.m.mp4</t>
        </is>
      </c>
      <c r="G99" s="8" t="inlineStr">
        <is>
          <t>Forearms (Wrist flexors and extensors): primary, 0.6</t>
        </is>
      </c>
      <c r="H99" s="8" t="inlineStr">
        <is>
          <t>Bodyweight</t>
        </is>
      </c>
      <c r="I99" s="8" t="inlineStr">
        <is>
          <t>Home, Gym, Outdoors</t>
        </is>
      </c>
      <c r="J99" s="8" t="n">
        <v>1</v>
      </c>
      <c r="K99" s="8" t="inlineStr">
        <is>
          <t>9+ (kids)</t>
        </is>
      </c>
      <c r="L99" s="8" t="inlineStr">
        <is>
          <t>Standing, With support, Seated</t>
        </is>
      </c>
      <c r="M99" s="8" t="inlineStr">
        <is>
          <t>Elbow / wrist, Recent surgery</t>
        </is>
      </c>
      <c r="N99" s="8" t="inlineStr">
        <is>
          <t>Arms forward, make a tight fist for two seconds, then spread fingers wide; repeat at a steady pace.</t>
        </is>
      </c>
      <c r="O99" s="8" t="inlineStr">
        <is>
          <t>Main work</t>
        </is>
      </c>
      <c r="P99" s="8" t="inlineStr">
        <is>
          <t>Wrist: Grip tight (full)</t>
        </is>
      </c>
      <c r="Q99" s="9" t="n"/>
      <c r="R99" s="9" t="n"/>
    </row>
    <row r="100">
      <c r="A100" s="8" t="n">
        <v>99</v>
      </c>
      <c r="B100" s="8" t="inlineStr">
        <is>
          <t>su_seated_self_resisted_palm_turn</t>
        </is>
      </c>
      <c r="C100" s="8" t="inlineStr">
        <is>
          <t>Self-resisted palm turn</t>
        </is>
      </c>
      <c r="D100" s="8" t="inlineStr">
        <is>
          <t>Has video (woman + man)</t>
        </is>
      </c>
      <c r="E100" s="8" t="inlineStr">
        <is>
          <t>su_seated_self_resisted_palm_turn.f.mp4</t>
        </is>
      </c>
      <c r="F100" s="8" t="inlineStr">
        <is>
          <t>su_seated_self_resisted_palm_turn.m.mp4</t>
        </is>
      </c>
      <c r="G100" s="8" t="inlineStr">
        <is>
          <t>Forearms (Wrist flexors and extensors): primary, 0.7
Biceps (Biceps brachii): secondary, 0.3</t>
        </is>
      </c>
      <c r="H100" s="8" t="inlineStr">
        <is>
          <t>Bodyweight</t>
        </is>
      </c>
      <c r="I100" s="8" t="inlineStr">
        <is>
          <t>Home, Gym, Outdoors</t>
        </is>
      </c>
      <c r="J100" s="8" t="n">
        <v>1</v>
      </c>
      <c r="K100" s="8" t="inlineStr">
        <is>
          <t>9+ (kids)</t>
        </is>
      </c>
      <c r="L100" s="8" t="inlineStr">
        <is>
          <t>Standing, With support, Seated</t>
        </is>
      </c>
      <c r="M100" s="8" t="inlineStr">
        <is>
          <t>Elbow / wrist, Recent surgery</t>
        </is>
      </c>
      <c r="N100" s="8" t="inlineStr">
        <is>
          <t>Elbow bent at your side, turn the palm up and down while the other hand grips and resists the wrist.</t>
        </is>
      </c>
      <c r="O100" s="8" t="inlineStr">
        <is>
          <t>Main work</t>
        </is>
      </c>
      <c r="P100" s="8" t="inlineStr">
        <is>
          <t>Wrist: Twist the forearm (full)
Wrist: Grip tight (partial)</t>
        </is>
      </c>
      <c r="Q100" s="9" t="n"/>
      <c r="R100" s="9" t="n"/>
    </row>
    <row r="101">
      <c r="A101" s="8" t="n">
        <v>100</v>
      </c>
      <c r="B101" s="8" t="inlineStr">
        <is>
          <t>su_seated_armrest_press_hold</t>
        </is>
      </c>
      <c r="C101" s="8" t="inlineStr">
        <is>
          <t>Armrest elbow press hold</t>
        </is>
      </c>
      <c r="D101" s="8" t="inlineStr">
        <is>
          <t>Has video (woman + man)</t>
        </is>
      </c>
      <c r="E101" s="8" t="inlineStr">
        <is>
          <t>su_seated_armrest_press_hold.f.mp4</t>
        </is>
      </c>
      <c r="F101" s="8" t="inlineStr">
        <is>
          <t>su_seated_armrest_press_hold.m.mp4</t>
        </is>
      </c>
      <c r="G101" s="8" t="inlineStr">
        <is>
          <t>Lats (Latissimus dorsi): primary, 0.7
Triceps (Triceps brachii): secondary, 0.3
Lower chest (Pectoralis major · lower fibers): secondary, 0.3</t>
        </is>
      </c>
      <c r="H101" s="8" t="inlineStr">
        <is>
          <t>Bodyweight</t>
        </is>
      </c>
      <c r="I101" s="8" t="inlineStr">
        <is>
          <t>Home, Gym</t>
        </is>
      </c>
      <c r="J101" s="8" t="n">
        <v>1</v>
      </c>
      <c r="K101" s="8" t="inlineStr">
        <is>
          <t>9+ (kids)</t>
        </is>
      </c>
      <c r="L101" s="8" t="inlineStr">
        <is>
          <t>Standing, With support, Seated</t>
        </is>
      </c>
      <c r="M101" s="8" t="inlineStr">
        <is>
          <t>Shoulder, Recent surgery</t>
        </is>
      </c>
      <c r="N101" s="8" t="inlineStr">
        <is>
          <t>Sit tall with elbows on the armrests, press them down firmly without shrugging and hold.</t>
        </is>
      </c>
      <c r="O101" s="8" t="inlineStr">
        <is>
          <t>Main work</t>
        </is>
      </c>
      <c r="P101" s="8" t="inlineStr">
        <is>
          <t>Shoulder: Pull (hold, no movement)</t>
        </is>
      </c>
      <c r="Q101" s="9" t="n"/>
      <c r="R101" s="9" t="n"/>
    </row>
    <row r="102">
      <c r="A102" s="8" t="n">
        <v>101</v>
      </c>
      <c r="B102" s="8" t="inlineStr">
        <is>
          <t>su_seated_table_edge_pull_hold</t>
        </is>
      </c>
      <c r="C102" s="8" t="inlineStr">
        <is>
          <t>Table-edge pull hold</t>
        </is>
      </c>
      <c r="D102" s="8" t="inlineStr">
        <is>
          <t>Has video (woman + man)</t>
        </is>
      </c>
      <c r="E102" s="8" t="inlineStr">
        <is>
          <t>su_seated_table_edge_pull_hold.f.mp4</t>
        </is>
      </c>
      <c r="F102" s="8" t="inlineStr">
        <is>
          <t>su_seated_table_edge_pull_hold.m.mp4</t>
        </is>
      </c>
      <c r="G102" s="8" t="inlineStr">
        <is>
          <t>Lats (Latissimus dorsi): primary, 0.6
Upper back (Rhomboids and middle trapezius): secondary, 0.4
Biceps (Biceps brachii): secondary, 0.3</t>
        </is>
      </c>
      <c r="H102" s="8" t="inlineStr">
        <is>
          <t>Bodyweight</t>
        </is>
      </c>
      <c r="I102" s="8" t="inlineStr">
        <is>
          <t>Home, Gym</t>
        </is>
      </c>
      <c r="J102" s="8" t="n">
        <v>1</v>
      </c>
      <c r="K102" s="8" t="inlineStr">
        <is>
          <t>9+ (kids)</t>
        </is>
      </c>
      <c r="L102" s="8" t="inlineStr">
        <is>
          <t>Standing, With support, Seated</t>
        </is>
      </c>
      <c r="M102" s="8" t="inlineStr">
        <is>
          <t>Shoulder, Elbow / wrist, Recent surgery</t>
        </is>
      </c>
      <c r="N102" s="8" t="inlineStr">
        <is>
          <t>Grip a sturdy table edge, elbows by your sides, pull as if drawing yourself in, and hold.</t>
        </is>
      </c>
      <c r="O102" s="8" t="inlineStr">
        <is>
          <t>Main work</t>
        </is>
      </c>
      <c r="P102" s="8" t="inlineStr">
        <is>
          <t>Shoulder: Pull (hold, no movement)
Elbow: Bend elbow with weight (hold, no movement)
Wrist: Grip tight (hold, no movement)</t>
        </is>
      </c>
      <c r="Q102" s="9" t="n"/>
      <c r="R102" s="9" t="n"/>
    </row>
    <row r="103">
      <c r="A103" s="8" t="n">
        <v>102</v>
      </c>
      <c r="B103" s="8" t="inlineStr">
        <is>
          <t>su_seated_clasped_hands_squeeze</t>
        </is>
      </c>
      <c r="C103" s="8" t="inlineStr">
        <is>
          <t>Seated clasped-hands squeeze</t>
        </is>
      </c>
      <c r="D103" s="8" t="inlineStr">
        <is>
          <t>Has video (woman + man)</t>
        </is>
      </c>
      <c r="E103" s="8" t="inlineStr">
        <is>
          <t>su_seated_clasped_hands_squeeze.f.mp4</t>
        </is>
      </c>
      <c r="F103" s="8" t="inlineStr">
        <is>
          <t>su_seated_clasped_hands_squeeze.m.mp4</t>
        </is>
      </c>
      <c r="G103" s="8" t="inlineStr">
        <is>
          <t>Upper back (Rhomboids and middle trapezius): primary, 0.7
Rear shoulders (Deltoid · rear head): secondary, 0.4
Traps (Trapezius): secondary, 0.3</t>
        </is>
      </c>
      <c r="H103" s="8" t="inlineStr">
        <is>
          <t>Bodyweight</t>
        </is>
      </c>
      <c r="I103" s="8" t="inlineStr">
        <is>
          <t>Home, Gym, Outdoors</t>
        </is>
      </c>
      <c r="J103" s="8" t="n">
        <v>1</v>
      </c>
      <c r="K103" s="8" t="inlineStr">
        <is>
          <t>9+ (kids)</t>
        </is>
      </c>
      <c r="L103" s="8" t="inlineStr">
        <is>
          <t>Standing, With support, Seated</t>
        </is>
      </c>
      <c r="M103" s="8" t="inlineStr">
        <is>
          <t>Shoulder, Recent surgery</t>
        </is>
      </c>
      <c r="N103" s="8" t="inlineStr">
        <is>
          <t>Sit forward, clasp hands behind your low back, squeeze shoulder blades together and lift hands slightly.</t>
        </is>
      </c>
      <c r="O103" s="8" t="inlineStr">
        <is>
          <t>Main work</t>
        </is>
      </c>
      <c r="P103" s="8" t="inlineStr">
        <is>
          <t>Shoulder: Reach behind your back (partial)
Shoulder: Pull (partial)</t>
        </is>
      </c>
      <c r="Q103" s="9" t="n"/>
      <c r="R103" s="9" t="n"/>
    </row>
    <row r="104">
      <c r="A104" s="8" t="n">
        <v>103</v>
      </c>
      <c r="B104" s="8" t="inlineStr">
        <is>
          <t>sl_seated_knee_reach_crunch</t>
        </is>
      </c>
      <c r="C104" s="8" t="inlineStr">
        <is>
          <t>Seated knee-reach crunch</t>
        </is>
      </c>
      <c r="D104" s="8" t="inlineStr">
        <is>
          <t>Has video (woman + man)</t>
        </is>
      </c>
      <c r="E104" s="8" t="inlineStr">
        <is>
          <t>sl_seated_knee_reach_crunch.f.mp4</t>
        </is>
      </c>
      <c r="F104" s="8" t="inlineStr">
        <is>
          <t>sl_seated_knee_reach_crunch.m.mp4</t>
        </is>
      </c>
      <c r="G104" s="8" t="inlineStr">
        <is>
          <t>Upper abs (Rectus abdominis · upper): primary, 0.7
Lower abs (Rectus abdominis · lower): secondary, 0.3</t>
        </is>
      </c>
      <c r="H104" s="8" t="inlineStr">
        <is>
          <t>Bodyweight</t>
        </is>
      </c>
      <c r="I104" s="8" t="inlineStr">
        <is>
          <t>Home, Gym, Outdoors</t>
        </is>
      </c>
      <c r="J104" s="8" t="n">
        <v>1</v>
      </c>
      <c r="K104" s="8" t="inlineStr">
        <is>
          <t>13+ (teens)</t>
        </is>
      </c>
      <c r="L104" s="8" t="inlineStr">
        <is>
          <t>Standing, With support, Seated</t>
        </is>
      </c>
      <c r="M104" s="8" t="inlineStr">
        <is>
          <t>Lower back, Osteoporosis, Recent surgery</t>
        </is>
      </c>
      <c r="N104" s="8" t="inlineStr">
        <is>
          <t>Sit tall, exhale and curl your ribs down as your hands slide toward your knees, then roll back up slowly.</t>
        </is>
      </c>
      <c r="O104" s="8" t="inlineStr">
        <is>
          <t>Main work</t>
        </is>
      </c>
      <c r="P104" s="8" t="inlineStr">
        <is>
          <t>Lower back: Bend forward (partial)</t>
        </is>
      </c>
      <c r="Q104" s="9" t="n"/>
      <c r="R104" s="9" t="n"/>
    </row>
    <row r="105">
      <c r="A105" s="8" t="n">
        <v>104</v>
      </c>
      <c r="B105" s="8" t="inlineStr">
        <is>
          <t>sl_seated_abdominal_thigh_press</t>
        </is>
      </c>
      <c r="C105" s="8" t="inlineStr">
        <is>
          <t>Seated abdominal thigh press</t>
        </is>
      </c>
      <c r="D105" s="8" t="inlineStr">
        <is>
          <t>Has video (woman + man)</t>
        </is>
      </c>
      <c r="E105" s="8" t="inlineStr">
        <is>
          <t>sl_seated_abdominal_thigh_press.f.mp4</t>
        </is>
      </c>
      <c r="F105" s="8" t="inlineStr">
        <is>
          <t>sl_seated_abdominal_thigh_press.m.mp4</t>
        </is>
      </c>
      <c r="G105" s="8" t="inlineStr">
        <is>
          <t>Upper abs (Rectus abdominis · upper): primary, 0.6
Lower abs (Rectus abdominis · lower): secondary, 0.4</t>
        </is>
      </c>
      <c r="H105" s="8" t="inlineStr">
        <is>
          <t>Bodyweight</t>
        </is>
      </c>
      <c r="I105" s="8" t="inlineStr">
        <is>
          <t>Home, Gym, Outdoors</t>
        </is>
      </c>
      <c r="J105" s="8" t="n">
        <v>1</v>
      </c>
      <c r="K105" s="8" t="inlineStr">
        <is>
          <t>13+ (teens)</t>
        </is>
      </c>
      <c r="L105" s="8" t="inlineStr">
        <is>
          <t>Standing, With support, Seated</t>
        </is>
      </c>
      <c r="M105" s="8" t="inlineStr">
        <is>
          <t>Recent surgery</t>
        </is>
      </c>
      <c r="N105" s="8" t="inlineStr">
        <is>
          <t>Hands on thighs, curl your chest slightly forward and press palms down hard while breathing steadily; do not hold your breath.</t>
        </is>
      </c>
      <c r="O105" s="8" t="inlineStr">
        <is>
          <t>Main work</t>
        </is>
      </c>
      <c r="P105" s="8" t="inlineStr">
        <is>
          <t>Lower back: Bend forward (hold, no movement)</t>
        </is>
      </c>
      <c r="Q105" s="9" t="n"/>
      <c r="R105" s="9" t="n"/>
    </row>
    <row r="106">
      <c r="A106" s="8" t="n">
        <v>105</v>
      </c>
      <c r="B106" s="8" t="inlineStr">
        <is>
          <t>sl_seated_pelvic_tuck</t>
        </is>
      </c>
      <c r="C106" s="8" t="inlineStr">
        <is>
          <t>Seated pelvic tuck</t>
        </is>
      </c>
      <c r="D106" s="8" t="inlineStr">
        <is>
          <t>Has video (woman + man)</t>
        </is>
      </c>
      <c r="E106" s="8" t="inlineStr">
        <is>
          <t>sl_seated_pelvic_tuck.f.mp4</t>
        </is>
      </c>
      <c r="F106" s="8" t="inlineStr">
        <is>
          <t>sl_seated_pelvic_tuck.m.mp4</t>
        </is>
      </c>
      <c r="G106" s="8" t="inlineStr">
        <is>
          <t>Lower abs (Rectus abdominis · lower): primary, 0.6
Glutes (Gluteus maximus and medius): secondary, 0.2</t>
        </is>
      </c>
      <c r="H106" s="8" t="inlineStr">
        <is>
          <t>Bodyweight</t>
        </is>
      </c>
      <c r="I106" s="8" t="inlineStr">
        <is>
          <t>Home, Gym, Outdoors</t>
        </is>
      </c>
      <c r="J106" s="8" t="n">
        <v>1</v>
      </c>
      <c r="K106" s="8" t="inlineStr">
        <is>
          <t>9+ (kids)</t>
        </is>
      </c>
      <c r="L106" s="8" t="inlineStr">
        <is>
          <t>Standing, With support, Seated</t>
        </is>
      </c>
      <c r="M106" s="8" t="inlineStr">
        <is>
          <t>Lower back, Recent surgery</t>
        </is>
      </c>
      <c r="N106" s="8" t="inlineStr">
        <is>
          <t>Sit tall, then tuck your tailbone under by drawing your lower belly in, pause, and return to neutral.</t>
        </is>
      </c>
      <c r="O106" s="8" t="inlineStr">
        <is>
          <t>Main work</t>
        </is>
      </c>
      <c r="P106" s="8" t="inlineStr">
        <is>
          <t>Lower back: Bend forward (partial)</t>
        </is>
      </c>
      <c r="Q106" s="9" t="n"/>
      <c r="R106" s="9" t="n"/>
    </row>
    <row r="107">
      <c r="A107" s="8" t="n">
        <v>106</v>
      </c>
      <c r="B107" s="8" t="inlineStr">
        <is>
          <t>sl_seated_feet_hover_hold</t>
        </is>
      </c>
      <c r="C107" s="8" t="inlineStr">
        <is>
          <t>Seated feet hover hold</t>
        </is>
      </c>
      <c r="D107" s="8" t="inlineStr">
        <is>
          <t>Has video (woman + man)</t>
        </is>
      </c>
      <c r="E107" s="8" t="inlineStr">
        <is>
          <t>sl_seated_feet_hover_hold.f.mp4</t>
        </is>
      </c>
      <c r="F107" s="8" t="inlineStr">
        <is>
          <t>sl_seated_feet_hover_hold.m.mp4</t>
        </is>
      </c>
      <c r="G107" s="8" t="inlineStr">
        <is>
          <t>Lower abs (Rectus abdominis · lower): primary, 0.6
Hips (Hip flexors): secondary, 0.4</t>
        </is>
      </c>
      <c r="H107" s="8" t="inlineStr">
        <is>
          <t>Bodyweight</t>
        </is>
      </c>
      <c r="I107" s="8" t="inlineStr">
        <is>
          <t>Home, Gym, Outdoors</t>
        </is>
      </c>
      <c r="J107" s="8" t="n">
        <v>1</v>
      </c>
      <c r="K107" s="8" t="inlineStr">
        <is>
          <t>13+ (teens)</t>
        </is>
      </c>
      <c r="L107" s="8" t="inlineStr">
        <is>
          <t>Standing, With support, Seated</t>
        </is>
      </c>
      <c r="M107" s="8" t="inlineStr">
        <is>
          <t>Lower back, Hip, Recent surgery</t>
        </is>
      </c>
      <c r="N107" s="8" t="inlineStr">
        <is>
          <t>Hold the chair sides, sit tall and lift both feet just off the floor; keep breathing and lower before your back arches.</t>
        </is>
      </c>
      <c r="O107" s="8" t="inlineStr">
        <is>
          <t>Main work</t>
        </is>
      </c>
      <c r="P107" s="8" t="inlineStr">
        <is>
          <t>Hip: Knee toward chest (hold, no movement)
Lower back: Bend forward (hold, no movement)
Knee: Bend the knee deep (hold, no movement)</t>
        </is>
      </c>
      <c r="Q107" s="9" t="n"/>
      <c r="R107" s="9" t="n"/>
    </row>
    <row r="108">
      <c r="A108" s="8" t="n">
        <v>107</v>
      </c>
      <c r="B108" s="8" t="inlineStr">
        <is>
          <t>sl_seated_cross_body_knee_touch</t>
        </is>
      </c>
      <c r="C108" s="8" t="inlineStr">
        <is>
          <t>Seated cross-body knee touch</t>
        </is>
      </c>
      <c r="D108" s="8" t="inlineStr">
        <is>
          <t>Has video (woman + man)</t>
        </is>
      </c>
      <c r="E108" s="8" t="inlineStr">
        <is>
          <t>sl_seated_cross_body_knee_touch.f.mp4</t>
        </is>
      </c>
      <c r="F108" s="8" t="inlineStr">
        <is>
          <t>sl_seated_cross_body_knee_touch.m.mp4</t>
        </is>
      </c>
      <c r="G108" s="8" t="inlineStr">
        <is>
          <t>Obliques (External and internal obliques): primary, 0.7
Lower abs (Rectus abdominis · lower): secondary, 0.3
Hips (Hip flexors): secondary, 0.3</t>
        </is>
      </c>
      <c r="H108" s="8" t="inlineStr">
        <is>
          <t>Bodyweight</t>
        </is>
      </c>
      <c r="I108" s="8" t="inlineStr">
        <is>
          <t>Home, Gym, Outdoors</t>
        </is>
      </c>
      <c r="J108" s="8" t="n">
        <v>1</v>
      </c>
      <c r="K108" s="8" t="inlineStr">
        <is>
          <t>13+ (teens)</t>
        </is>
      </c>
      <c r="L108" s="8" t="inlineStr">
        <is>
          <t>Standing, With support, Seated</t>
        </is>
      </c>
      <c r="M108" s="8" t="inlineStr">
        <is>
          <t>Lower back, Hip, Recent surgery</t>
        </is>
      </c>
      <c r="N108" s="8" t="inlineStr">
        <is>
          <t>Hands by your ears, lift one knee and turn to bring the opposite elbow toward it, then switch sides with control.</t>
        </is>
      </c>
      <c r="O108" s="8" t="inlineStr">
        <is>
          <t>Main work</t>
        </is>
      </c>
      <c r="P108" s="8" t="inlineStr">
        <is>
          <t>Lower back: Twist (partial)
Hip: Knee toward chest (partial)
Knee: Bend the knee deep (partial)</t>
        </is>
      </c>
      <c r="Q108" s="9" t="n"/>
      <c r="R108" s="9" t="n"/>
    </row>
    <row r="109">
      <c r="A109" s="8" t="n">
        <v>108</v>
      </c>
      <c r="B109" s="8" t="inlineStr">
        <is>
          <t>sl_seated_cross_knee_press_hold</t>
        </is>
      </c>
      <c r="C109" s="8" t="inlineStr">
        <is>
          <t>Seated cross-knee press hold</t>
        </is>
      </c>
      <c r="D109" s="8" t="inlineStr">
        <is>
          <t>Has video (woman + man)</t>
        </is>
      </c>
      <c r="E109" s="8" t="inlineStr">
        <is>
          <t>sl_seated_cross_knee_press_hold.f.mp4</t>
        </is>
      </c>
      <c r="F109" s="8" t="inlineStr">
        <is>
          <t>sl_seated_cross_knee_press_hold.m.mp4</t>
        </is>
      </c>
      <c r="G109" s="8" t="inlineStr">
        <is>
          <t>Obliques (External and internal obliques): primary, 0.6
Upper abs (Rectus abdominis · upper): secondary, 0.3</t>
        </is>
      </c>
      <c r="H109" s="8" t="inlineStr">
        <is>
          <t>Bodyweight</t>
        </is>
      </c>
      <c r="I109" s="8" t="inlineStr">
        <is>
          <t>Home, Gym, Outdoors</t>
        </is>
      </c>
      <c r="J109" s="8" t="n">
        <v>1</v>
      </c>
      <c r="K109" s="8" t="inlineStr">
        <is>
          <t>9+ (kids)</t>
        </is>
      </c>
      <c r="L109" s="8" t="inlineStr">
        <is>
          <t>Standing, With support, Seated</t>
        </is>
      </c>
      <c r="M109" s="8" t="inlineStr">
        <is>
          <t>Recent surgery</t>
        </is>
      </c>
      <c r="N109" s="8" t="inlineStr">
        <is>
          <t>Place one hand on the opposite knee, press hand and knee into each other without moving, breathe, then switch sides.</t>
        </is>
      </c>
      <c r="O109" s="8" t="inlineStr">
        <is>
          <t>Main work</t>
        </is>
      </c>
      <c r="P109" s="8" t="inlineStr">
        <is>
          <t>Lower back: Twist (hold, no movement)</t>
        </is>
      </c>
      <c r="Q109" s="9" t="n"/>
      <c r="R109" s="9" t="n"/>
    </row>
    <row r="110">
      <c r="A110" s="8" t="n">
        <v>109</v>
      </c>
      <c r="B110" s="8" t="inlineStr">
        <is>
          <t>sl_seated_hands_out_knee_squeeze</t>
        </is>
      </c>
      <c r="C110" s="8" t="inlineStr">
        <is>
          <t>Seated hand-resisted knee squeeze</t>
        </is>
      </c>
      <c r="D110" s="8" t="inlineStr">
        <is>
          <t>Has video (woman + man)</t>
        </is>
      </c>
      <c r="E110" s="8" t="inlineStr">
        <is>
          <t>sl_seated_hands_out_knee_squeeze.f.mp4</t>
        </is>
      </c>
      <c r="F110" s="8" t="inlineStr">
        <is>
          <t>sl_seated_hands_out_knee_squeeze.m.mp4</t>
        </is>
      </c>
      <c r="G110" s="8" t="inlineStr">
        <is>
          <t>Inner thighs (Hip adductors): primary, 0.7</t>
        </is>
      </c>
      <c r="H110" s="8" t="inlineStr">
        <is>
          <t>Bodyweight</t>
        </is>
      </c>
      <c r="I110" s="8" t="inlineStr">
        <is>
          <t>Home, Gym, Outdoors</t>
        </is>
      </c>
      <c r="J110" s="8" t="n">
        <v>1</v>
      </c>
      <c r="K110" s="8" t="inlineStr">
        <is>
          <t>13+ (teens)</t>
        </is>
      </c>
      <c r="L110" s="8" t="inlineStr">
        <is>
          <t>Standing, With support, Seated</t>
        </is>
      </c>
      <c r="M110" s="8" t="inlineStr">
        <is>
          <t>Hip, Recent surgery</t>
        </is>
      </c>
      <c r="N110" s="8" t="inlineStr">
        <is>
          <t>Hands on your inner knees, push outward gently while you slowly squeeze your knees together, then let them open.</t>
        </is>
      </c>
      <c r="O110" s="8" t="inlineStr">
        <is>
          <t>Main work</t>
        </is>
      </c>
      <c r="P110" s="8" t="inlineStr">
        <is>
          <t>Hip: Leg across (partial)</t>
        </is>
      </c>
      <c r="Q110" s="9" t="n"/>
      <c r="R110" s="9" t="n"/>
    </row>
    <row r="111">
      <c r="A111" s="8" t="n">
        <v>110</v>
      </c>
      <c r="B111" s="8" t="inlineStr">
        <is>
          <t>sl_seated_floor_push_hold</t>
        </is>
      </c>
      <c r="C111" s="8" t="inlineStr">
        <is>
          <t>Seated floor push hold</t>
        </is>
      </c>
      <c r="D111" s="8" t="inlineStr">
        <is>
          <t>Has video (woman + man)</t>
        </is>
      </c>
      <c r="E111" s="8" t="inlineStr">
        <is>
          <t>sl_seated_floor_push_hold.f.mp4</t>
        </is>
      </c>
      <c r="F111" s="8" t="inlineStr">
        <is>
          <t>sl_seated_floor_push_hold.m.mp4</t>
        </is>
      </c>
      <c r="G111" s="8" t="inlineStr">
        <is>
          <t>Quads (Quadriceps): primary, 0.6
Glutes (Gluteus maximus and medius): secondary, 0.3</t>
        </is>
      </c>
      <c r="H111" s="8" t="inlineStr">
        <is>
          <t>Bodyweight</t>
        </is>
      </c>
      <c r="I111" s="8" t="inlineStr">
        <is>
          <t>Home, Gym, Outdoors</t>
        </is>
      </c>
      <c r="J111" s="8" t="n">
        <v>1</v>
      </c>
      <c r="K111" s="8" t="inlineStr">
        <is>
          <t>13+ (teens)</t>
        </is>
      </c>
      <c r="L111" s="8" t="inlineStr">
        <is>
          <t>Standing, With support, Seated</t>
        </is>
      </c>
      <c r="M111" s="8" t="inlineStr">
        <is>
          <t>Knee, Recent surgery</t>
        </is>
      </c>
      <c r="N111" s="8" t="inlineStr">
        <is>
          <t>Feet flat under knees, push them hard into the floor as if to stand, without leaving the seat; breathe and relax.</t>
        </is>
      </c>
      <c r="O111" s="8" t="inlineStr">
        <is>
          <t>Main work</t>
        </is>
      </c>
      <c r="P111" s="8" t="inlineStr">
        <is>
          <t>Knee: Straighten with effort (hold, no movement)
Hip: Leg behind you (hold, no movement)</t>
        </is>
      </c>
      <c r="Q111" s="9" t="n"/>
      <c r="R111" s="9" t="n"/>
    </row>
    <row r="112">
      <c r="A112" s="8" t="n">
        <v>111</v>
      </c>
      <c r="B112" s="8" t="inlineStr">
        <is>
          <t>sl_seated_leg_extension_pulses</t>
        </is>
      </c>
      <c r="C112" s="8" t="inlineStr">
        <is>
          <t>Seated leg extension pulses</t>
        </is>
      </c>
      <c r="D112" s="8" t="inlineStr">
        <is>
          <t>Has video (woman + man)</t>
        </is>
      </c>
      <c r="E112" s="8" t="inlineStr">
        <is>
          <t>sl_seated_leg_extension_pulses.f.mp4</t>
        </is>
      </c>
      <c r="F112" s="8" t="inlineStr">
        <is>
          <t>sl_seated_leg_extension_pulses.m.mp4</t>
        </is>
      </c>
      <c r="G112" s="8" t="inlineStr">
        <is>
          <t>Quads (Quadriceps): primary, 0.7
Knees (Muscles around the knee): secondary, 0.3</t>
        </is>
      </c>
      <c r="H112" s="8" t="inlineStr">
        <is>
          <t>Bodyweight</t>
        </is>
      </c>
      <c r="I112" s="8" t="inlineStr">
        <is>
          <t>Home, Gym, Outdoors</t>
        </is>
      </c>
      <c r="J112" s="8" t="n">
        <v>1</v>
      </c>
      <c r="K112" s="8" t="inlineStr">
        <is>
          <t>13+ (teens)</t>
        </is>
      </c>
      <c r="L112" s="8" t="inlineStr">
        <is>
          <t>Standing, With support, Seated</t>
        </is>
      </c>
      <c r="M112" s="8" t="inlineStr">
        <is>
          <t>Knee, Recent surgery</t>
        </is>
      </c>
      <c r="N112" s="8" t="inlineStr">
        <is>
          <t>Straighten one leg, then make small up-and-down pulses near the top without locking the knee; switch legs.</t>
        </is>
      </c>
      <c r="O112" s="8" t="inlineStr">
        <is>
          <t>Main work</t>
        </is>
      </c>
      <c r="P112" s="8" t="inlineStr">
        <is>
          <t>Knee: Straighten with effort (partial)</t>
        </is>
      </c>
      <c r="Q112" s="9" t="n"/>
      <c r="R112" s="9" t="n"/>
    </row>
    <row r="113">
      <c r="A113" s="8" t="n">
        <v>112</v>
      </c>
      <c r="B113" s="8" t="inlineStr">
        <is>
          <t>sl_seated_wall_foot_press_hold</t>
        </is>
      </c>
      <c r="C113" s="8" t="inlineStr">
        <is>
          <t>Seated wall foot press hold</t>
        </is>
      </c>
      <c r="D113" s="8" t="inlineStr">
        <is>
          <t>Has video (woman + man)</t>
        </is>
      </c>
      <c r="E113" s="8" t="inlineStr">
        <is>
          <t>sl_seated_wall_foot_press_hold.f.mp4</t>
        </is>
      </c>
      <c r="F113" s="8" t="inlineStr">
        <is>
          <t>sl_seated_wall_foot_press_hold.m.mp4</t>
        </is>
      </c>
      <c r="G113" s="8" t="inlineStr">
        <is>
          <t>Quads (Quadriceps): primary, 0.7
Knees (Muscles around the knee): secondary, 0.3</t>
        </is>
      </c>
      <c r="H113" s="8" t="inlineStr">
        <is>
          <t>Bodyweight</t>
        </is>
      </c>
      <c r="I113" s="8" t="inlineStr">
        <is>
          <t>Home, Gym, Outdoors</t>
        </is>
      </c>
      <c r="J113" s="8" t="n">
        <v>1</v>
      </c>
      <c r="K113" s="8" t="inlineStr">
        <is>
          <t>13+ (teens)</t>
        </is>
      </c>
      <c r="L113" s="8" t="inlineStr">
        <is>
          <t>Standing, With support, Seated</t>
        </is>
      </c>
      <c r="M113" s="8" t="inlineStr">
        <is>
          <t>Knee, Recent surgery</t>
        </is>
      </c>
      <c r="N113" s="8" t="inlineStr">
        <is>
          <t>Sit facing a wall, place one sole on it with the knee bent, press forward firmly without moving; breathe, then switch.</t>
        </is>
      </c>
      <c r="O113" s="8" t="inlineStr">
        <is>
          <t>Main work</t>
        </is>
      </c>
      <c r="P113" s="8" t="inlineStr">
        <is>
          <t>Knee: Straighten with effort (hold, no movement)</t>
        </is>
      </c>
      <c r="Q113" s="9" t="n"/>
      <c r="R113" s="9" t="n"/>
    </row>
    <row r="114">
      <c r="A114" s="8" t="n">
        <v>113</v>
      </c>
      <c r="B114" s="8" t="inlineStr">
        <is>
          <t>sl_seated_knee_cocontraction_hold</t>
        </is>
      </c>
      <c r="C114" s="8" t="inlineStr">
        <is>
          <t>Seated knee brace hold</t>
        </is>
      </c>
      <c r="D114" s="8" t="inlineStr">
        <is>
          <t>Has video (woman + man)</t>
        </is>
      </c>
      <c r="E114" s="8" t="inlineStr">
        <is>
          <t>sl_seated_knee_cocontraction_hold.f.mp4</t>
        </is>
      </c>
      <c r="F114" s="8" t="inlineStr">
        <is>
          <t>sl_seated_knee_cocontraction_hold.m.mp4</t>
        </is>
      </c>
      <c r="G114" s="8" t="inlineStr">
        <is>
          <t>Knees (Muscles around the knee): primary, 0.7
Quads (Quadriceps): secondary, 0.4
Hamstrings (Hamstrings): secondary, 0.4</t>
        </is>
      </c>
      <c r="H114" s="8" t="inlineStr">
        <is>
          <t>Bodyweight</t>
        </is>
      </c>
      <c r="I114" s="8" t="inlineStr">
        <is>
          <t>Home, Gym, Outdoors</t>
        </is>
      </c>
      <c r="J114" s="8" t="n">
        <v>1</v>
      </c>
      <c r="K114" s="8" t="inlineStr">
        <is>
          <t>9+ (kids)</t>
        </is>
      </c>
      <c r="L114" s="8" t="inlineStr">
        <is>
          <t>Standing, With support, Seated</t>
        </is>
      </c>
      <c r="M114" s="8" t="inlineStr">
        <is>
          <t>Recent surgery</t>
        </is>
      </c>
      <c r="N114" s="8" t="inlineStr">
        <is>
          <t>Foot flat, press the heel down and back while also pushing the knee forward so the thigh tightens all around; hold.</t>
        </is>
      </c>
      <c r="O114" s="8" t="inlineStr">
        <is>
          <t>Main work</t>
        </is>
      </c>
      <c r="P114" s="8" t="inlineStr">
        <is>
          <t>Knee: Straighten with effort (hold, no movement)</t>
        </is>
      </c>
      <c r="Q114" s="9" t="n"/>
      <c r="R114" s="9" t="n"/>
    </row>
    <row r="115">
      <c r="A115" s="8" t="n">
        <v>114</v>
      </c>
      <c r="B115" s="8" t="inlineStr">
        <is>
          <t>sl_seated_heel_slides</t>
        </is>
      </c>
      <c r="C115" s="8" t="inlineStr">
        <is>
          <t>Seated heel slides</t>
        </is>
      </c>
      <c r="D115" s="8" t="inlineStr">
        <is>
          <t>Has video (woman + man)</t>
        </is>
      </c>
      <c r="E115" s="8" t="inlineStr">
        <is>
          <t>sl_seated_heel_slides.f.mp4</t>
        </is>
      </c>
      <c r="F115" s="8" t="inlineStr">
        <is>
          <t>sl_seated_heel_slides.m.mp4</t>
        </is>
      </c>
      <c r="G115" s="8" t="inlineStr">
        <is>
          <t>Knees (Muscles around the knee): primary, 0.6
Hamstrings (Hamstrings): secondary, 0.3
Quads (Quadriceps): secondary, 0.3</t>
        </is>
      </c>
      <c r="H115" s="8" t="inlineStr">
        <is>
          <t>Bodyweight</t>
        </is>
      </c>
      <c r="I115" s="8" t="inlineStr">
        <is>
          <t>Home, Gym, Outdoors</t>
        </is>
      </c>
      <c r="J115" s="8" t="n">
        <v>1</v>
      </c>
      <c r="K115" s="8" t="inlineStr">
        <is>
          <t>9+ (kids)</t>
        </is>
      </c>
      <c r="L115" s="8" t="inlineStr">
        <is>
          <t>Standing, With support, Seated</t>
        </is>
      </c>
      <c r="M115" s="8" t="inlineStr">
        <is>
          <t>Knee, Recent surgery</t>
        </is>
      </c>
      <c r="N115" s="8" t="inlineStr">
        <is>
          <t>Slide one heel forward along the floor until the leg is nearly straight, then slide it back under the chair slowly.</t>
        </is>
      </c>
      <c r="O115" s="8" t="inlineStr">
        <is>
          <t>Main work</t>
        </is>
      </c>
      <c r="P115" s="8" t="inlineStr">
        <is>
          <t>Knee: Straighten with effort (partial)
Knee: Bend the knee deep (partial)</t>
        </is>
      </c>
      <c r="Q115" s="9" t="n"/>
      <c r="R115" s="9" t="n"/>
    </row>
    <row r="116">
      <c r="A116" s="8" t="n">
        <v>115</v>
      </c>
      <c r="B116" s="8" t="inlineStr">
        <is>
          <t>sl_seated_knee_tracking_lift</t>
        </is>
      </c>
      <c r="C116" s="8" t="inlineStr">
        <is>
          <t>Seated slow kneecap-up lift</t>
        </is>
      </c>
      <c r="D116" s="8" t="inlineStr">
        <is>
          <t>Has video (woman + man)</t>
        </is>
      </c>
      <c r="E116" s="8" t="inlineStr">
        <is>
          <t>sl_seated_knee_tracking_lift.f.mp4</t>
        </is>
      </c>
      <c r="F116" s="8" t="inlineStr">
        <is>
          <t>sl_seated_knee_tracking_lift.m.mp4</t>
        </is>
      </c>
      <c r="G116" s="8" t="inlineStr">
        <is>
          <t>Knees (Muscles around the knee): primary, 0.7
Quads (Quadriceps): secondary, 0.5</t>
        </is>
      </c>
      <c r="H116" s="8" t="inlineStr">
        <is>
          <t>Bodyweight</t>
        </is>
      </c>
      <c r="I116" s="8" t="inlineStr">
        <is>
          <t>Home, Gym, Outdoors</t>
        </is>
      </c>
      <c r="J116" s="8" t="n">
        <v>1</v>
      </c>
      <c r="K116" s="8" t="inlineStr">
        <is>
          <t>13+ (teens)</t>
        </is>
      </c>
      <c r="L116" s="8" t="inlineStr">
        <is>
          <t>Standing, With support, Seated</t>
        </is>
      </c>
      <c r="M116" s="8" t="inlineStr">
        <is>
          <t>Knee, Recent surgery</t>
        </is>
      </c>
      <c r="N116" s="8" t="inlineStr">
        <is>
          <t>Straighten one leg keeping the kneecap pointing straight up, then take five seconds to lower it with control.</t>
        </is>
      </c>
      <c r="O116" s="8" t="inlineStr">
        <is>
          <t>Main work</t>
        </is>
      </c>
      <c r="P116" s="8" t="inlineStr">
        <is>
          <t>Knee: Straighten with effort (full)</t>
        </is>
      </c>
      <c r="Q116" s="9" t="n"/>
      <c r="R116" s="9" t="n"/>
    </row>
    <row r="117">
      <c r="A117" s="8" t="n">
        <v>116</v>
      </c>
      <c r="B117" s="8" t="inlineStr">
        <is>
          <t>sl_seated_shin_rotation_control</t>
        </is>
      </c>
      <c r="C117" s="8" t="inlineStr">
        <is>
          <t>Seated shin rotation control</t>
        </is>
      </c>
      <c r="D117" s="8" t="inlineStr">
        <is>
          <t>Has video (woman + man)</t>
        </is>
      </c>
      <c r="E117" s="8" t="inlineStr">
        <is>
          <t>sl_seated_shin_rotation_control.f.mp4</t>
        </is>
      </c>
      <c r="F117" s="8" t="inlineStr">
        <is>
          <t>sl_seated_shin_rotation_control.m.mp4</t>
        </is>
      </c>
      <c r="G117" s="8" t="inlineStr">
        <is>
          <t>Knees (Muscles around the knee): primary, 0.6
Hamstrings (Hamstrings): secondary, 0.3</t>
        </is>
      </c>
      <c r="H117" s="8" t="inlineStr">
        <is>
          <t>Bodyweight</t>
        </is>
      </c>
      <c r="I117" s="8" t="inlineStr">
        <is>
          <t>Home, Gym, Outdoors</t>
        </is>
      </c>
      <c r="J117" s="8" t="n">
        <v>1</v>
      </c>
      <c r="K117" s="8" t="inlineStr">
        <is>
          <t>13+ (teens)</t>
        </is>
      </c>
      <c r="L117" s="8" t="inlineStr">
        <is>
          <t>Standing, With support, Seated</t>
        </is>
      </c>
      <c r="M117" s="8" t="inlineStr">
        <is>
          <t>Knee, Recent surgery</t>
        </is>
      </c>
      <c r="N117" s="8" t="inlineStr">
        <is>
          <t>Knee bent at a right angle, heel down, slowly turn your toes in and out by rotating the shin, keeping the thigh still.</t>
        </is>
      </c>
      <c r="O117" s="8" t="inlineStr">
        <is>
          <t>Main work</t>
        </is>
      </c>
      <c r="P117" s="8" t="inlineStr">
        <is>
          <t>Knee: Twist on the knee (partial)</t>
        </is>
      </c>
      <c r="Q117" s="9" t="n"/>
      <c r="R117" s="9" t="n"/>
    </row>
    <row r="118">
      <c r="A118" s="8" t="n">
        <v>117</v>
      </c>
      <c r="B118" s="8" t="inlineStr">
        <is>
          <t>sl_seated_alternating_toe_taps</t>
        </is>
      </c>
      <c r="C118" s="8" t="inlineStr">
        <is>
          <t>Seated alternating toe taps</t>
        </is>
      </c>
      <c r="D118" s="8" t="inlineStr">
        <is>
          <t>Has video (woman + man)</t>
        </is>
      </c>
      <c r="E118" s="8" t="inlineStr">
        <is>
          <t>sl_seated_alternating_toe_taps.f.mp4</t>
        </is>
      </c>
      <c r="F118" s="8" t="inlineStr">
        <is>
          <t>sl_seated_alternating_toe_taps.m.mp4</t>
        </is>
      </c>
      <c r="G118" s="8" t="inlineStr">
        <is>
          <t>Shins (Tibialis anterior): primary, 0.7</t>
        </is>
      </c>
      <c r="H118" s="8" t="inlineStr">
        <is>
          <t>Bodyweight</t>
        </is>
      </c>
      <c r="I118" s="8" t="inlineStr">
        <is>
          <t>Home, Gym, Outdoors</t>
        </is>
      </c>
      <c r="J118" s="8" t="n">
        <v>1</v>
      </c>
      <c r="K118" s="8" t="inlineStr">
        <is>
          <t>9+ (kids)</t>
        </is>
      </c>
      <c r="L118" s="8" t="inlineStr">
        <is>
          <t>Standing, With support, Seated</t>
        </is>
      </c>
      <c r="M118" s="8" t="inlineStr">
        <is>
          <t>Ankle / foot, Recent surgery</t>
        </is>
      </c>
      <c r="N118" s="8" t="inlineStr">
        <is>
          <t>Heels on the floor, lift and tap the toes of one foot, then the other, at a steady quick rhythm.</t>
        </is>
      </c>
      <c r="O118" s="8" t="inlineStr">
        <is>
          <t>Main work</t>
        </is>
      </c>
      <c r="P118" s="8" t="inlineStr">
        <is>
          <t>Ankle: Knee over toes (full)</t>
        </is>
      </c>
      <c r="Q118" s="9" t="n"/>
      <c r="R118" s="9" t="n"/>
    </row>
    <row r="119">
      <c r="A119" s="8" t="n">
        <v>118</v>
      </c>
      <c r="B119" s="8" t="inlineStr">
        <is>
          <t>sl_seated_backrest_press_hold</t>
        </is>
      </c>
      <c r="C119" s="8" t="inlineStr">
        <is>
          <t>Seated backrest press hold</t>
        </is>
      </c>
      <c r="D119" s="8" t="inlineStr">
        <is>
          <t>Has video (woman + man)</t>
        </is>
      </c>
      <c r="E119" s="8" t="inlineStr">
        <is>
          <t>sl_seated_backrest_press_hold.f.mp4</t>
        </is>
      </c>
      <c r="F119" s="8" t="inlineStr">
        <is>
          <t>sl_seated_backrest_press_hold.m.mp4</t>
        </is>
      </c>
      <c r="G119" s="8" t="inlineStr">
        <is>
          <t>Lower back (Erector spinae): primary, 0.6
Glutes (Gluteus maximus and medius): secondary, 0.2</t>
        </is>
      </c>
      <c r="H119" s="8" t="inlineStr">
        <is>
          <t>Bodyweight</t>
        </is>
      </c>
      <c r="I119" s="8" t="inlineStr">
        <is>
          <t>Home, Gym, Outdoors</t>
        </is>
      </c>
      <c r="J119" s="8" t="n">
        <v>1</v>
      </c>
      <c r="K119" s="8" t="inlineStr">
        <is>
          <t>9+ (kids)</t>
        </is>
      </c>
      <c r="L119" s="8" t="inlineStr">
        <is>
          <t>Standing, With support, Seated</t>
        </is>
      </c>
      <c r="M119" s="8" t="inlineStr">
        <is>
          <t>Recent surgery</t>
        </is>
      </c>
      <c r="N119" s="8" t="inlineStr">
        <is>
          <t>Sit tall against the backrest and press your back gently into it without slouching; hold, breathe, and relax.</t>
        </is>
      </c>
      <c r="O119" s="8" t="inlineStr">
        <is>
          <t>Main work</t>
        </is>
      </c>
      <c r="P119" s="8" t="inlineStr">
        <is>
          <t>Lower back: Arch your back (hold, no movement)</t>
        </is>
      </c>
      <c r="Q119" s="9" t="n"/>
      <c r="R119" s="9" t="n"/>
    </row>
    <row r="120">
      <c r="A120" s="8" t="n">
        <v>119</v>
      </c>
      <c r="B120" s="8" t="inlineStr">
        <is>
          <t>sl_seated_glute_squeeze_hold</t>
        </is>
      </c>
      <c r="C120" s="8" t="inlineStr">
        <is>
          <t>Seated glute squeeze hold</t>
        </is>
      </c>
      <c r="D120" s="8" t="inlineStr">
        <is>
          <t>Has video (woman + man)</t>
        </is>
      </c>
      <c r="E120" s="8" t="inlineStr">
        <is>
          <t>sl_seated_glute_squeeze_hold.f.mp4</t>
        </is>
      </c>
      <c r="F120" s="8" t="inlineStr">
        <is>
          <t>sl_seated_glute_squeeze_hold.m.mp4</t>
        </is>
      </c>
      <c r="G120" s="8" t="inlineStr">
        <is>
          <t>Glutes (Gluteus maximus and medius): primary, 0.6</t>
        </is>
      </c>
      <c r="H120" s="8" t="inlineStr">
        <is>
          <t>Bodyweight</t>
        </is>
      </c>
      <c r="I120" s="8" t="inlineStr">
        <is>
          <t>Home, Gym, Outdoors</t>
        </is>
      </c>
      <c r="J120" s="8" t="n">
        <v>1</v>
      </c>
      <c r="K120" s="8" t="inlineStr">
        <is>
          <t>9+ (kids)</t>
        </is>
      </c>
      <c r="L120" s="8" t="inlineStr">
        <is>
          <t>Standing, With support, Seated</t>
        </is>
      </c>
      <c r="M120" s="8" t="inlineStr">
        <is>
          <t>Recent surgery</t>
        </is>
      </c>
      <c r="N120" s="8" t="inlineStr">
        <is>
          <t>Sit tall and squeeze your buttocks firmly so you rise slightly on the seat; hold, breathe, then relax.</t>
        </is>
      </c>
      <c r="O120" s="8" t="inlineStr">
        <is>
          <t>Main work</t>
        </is>
      </c>
      <c r="P120" s="8" t="inlineStr">
        <is>
          <t>Hip: Leg behind you (hold, no movement)</t>
        </is>
      </c>
      <c r="Q120" s="9" t="n"/>
      <c r="R120" s="9" t="n"/>
    </row>
    <row r="121">
      <c r="A121" s="8" t="n">
        <v>120</v>
      </c>
      <c r="B121" s="8" t="inlineStr">
        <is>
          <t>sl_seated_clamshell</t>
        </is>
      </c>
      <c r="C121" s="8" t="inlineStr">
        <is>
          <t>Seated clamshell</t>
        </is>
      </c>
      <c r="D121" s="8" t="inlineStr">
        <is>
          <t>Has video (woman + man)</t>
        </is>
      </c>
      <c r="E121" s="8" t="inlineStr">
        <is>
          <t>sl_seated_clamshell.f.mp4</t>
        </is>
      </c>
      <c r="F121" s="8" t="inlineStr">
        <is>
          <t>sl_seated_clamshell.m.mp4</t>
        </is>
      </c>
      <c r="G121" s="8" t="inlineStr">
        <is>
          <t>Glutes (Gluteus maximus and medius): primary, 0.6
Hips (Hip flexors): secondary, 0.4</t>
        </is>
      </c>
      <c r="H121" s="8" t="inlineStr">
        <is>
          <t>Bodyweight</t>
        </is>
      </c>
      <c r="I121" s="8" t="inlineStr">
        <is>
          <t>Home, Gym, Outdoors</t>
        </is>
      </c>
      <c r="J121" s="8" t="n">
        <v>1</v>
      </c>
      <c r="K121" s="8" t="inlineStr">
        <is>
          <t>9+ (kids)</t>
        </is>
      </c>
      <c r="L121" s="8" t="inlineStr">
        <is>
          <t>Standing, With support, Seated</t>
        </is>
      </c>
      <c r="M121" s="8" t="inlineStr">
        <is>
          <t>Hip, Recent surgery</t>
        </is>
      </c>
      <c r="N121" s="8" t="inlineStr">
        <is>
          <t>Feet together on the floor, open your knees apart as far as is comfortable, pause, then close them slowly.</t>
        </is>
      </c>
      <c r="O121" s="8" t="inlineStr">
        <is>
          <t>Main work</t>
        </is>
      </c>
      <c r="P121" s="8" t="inlineStr">
        <is>
          <t>Hip: Leg out to the side (partial)
Hip: Turn the hip (partial)</t>
        </is>
      </c>
      <c r="Q121" s="9" t="n"/>
      <c r="R121" s="9" t="n"/>
    </row>
    <row r="122">
      <c r="A122" s="8" t="n">
        <v>121</v>
      </c>
      <c r="B122" s="8" t="inlineStr">
        <is>
          <t>sl_seated_heel_dig_hold</t>
        </is>
      </c>
      <c r="C122" s="8" t="inlineStr">
        <is>
          <t>Seated heel dig hold</t>
        </is>
      </c>
      <c r="D122" s="8" t="inlineStr">
        <is>
          <t>Has video (woman + man)</t>
        </is>
      </c>
      <c r="E122" s="8" t="inlineStr">
        <is>
          <t>sl_seated_heel_dig_hold.f.mp4</t>
        </is>
      </c>
      <c r="F122" s="8" t="inlineStr">
        <is>
          <t>sl_seated_heel_dig_hold.m.mp4</t>
        </is>
      </c>
      <c r="G122" s="8" t="inlineStr">
        <is>
          <t>Hamstrings (Hamstrings): primary, 0.6</t>
        </is>
      </c>
      <c r="H122" s="8" t="inlineStr">
        <is>
          <t>Bodyweight</t>
        </is>
      </c>
      <c r="I122" s="8" t="inlineStr">
        <is>
          <t>Home, Gym, Outdoors</t>
        </is>
      </c>
      <c r="J122" s="8" t="n">
        <v>1</v>
      </c>
      <c r="K122" s="8" t="inlineStr">
        <is>
          <t>9+ (kids)</t>
        </is>
      </c>
      <c r="L122" s="8" t="inlineStr">
        <is>
          <t>Standing, With support, Seated</t>
        </is>
      </c>
      <c r="M122" s="8" t="inlineStr">
        <is>
          <t>Recent surgery</t>
        </is>
      </c>
      <c r="N122" s="8" t="inlineStr">
        <is>
          <t>Knee slightly bent, dig one heel into the floor and pull it back toward the chair without moving; hold, then switch.</t>
        </is>
      </c>
      <c r="O122" s="8" t="inlineStr">
        <is>
          <t>Main work</t>
        </is>
      </c>
      <c r="P122" s="8" t="inlineStr">
        <is>
          <t>Knee: Bend the knee deep (hold, no movement)</t>
        </is>
      </c>
      <c r="Q122" s="9" t="n"/>
      <c r="R122" s="9" t="n"/>
    </row>
    <row r="123">
      <c r="A123" s="8" t="n">
        <v>122</v>
      </c>
      <c r="B123" s="8" t="inlineStr">
        <is>
          <t>sl_seated_crossed_ankle_curl_press</t>
        </is>
      </c>
      <c r="C123" s="8" t="inlineStr">
        <is>
          <t>Seated crossed-ankle curl press</t>
        </is>
      </c>
      <c r="D123" s="8" t="inlineStr">
        <is>
          <t>Has video (woman + man)</t>
        </is>
      </c>
      <c r="E123" s="8" t="inlineStr">
        <is>
          <t>sl_seated_crossed_ankle_curl_press.f.mp4</t>
        </is>
      </c>
      <c r="F123" s="8" t="inlineStr">
        <is>
          <t>sl_seated_crossed_ankle_curl_press.m.mp4</t>
        </is>
      </c>
      <c r="G123" s="8" t="inlineStr">
        <is>
          <t>Hamstrings (Hamstrings): primary, 0.6
Quads (Quadriceps): secondary, 0.4</t>
        </is>
      </c>
      <c r="H123" s="8" t="inlineStr">
        <is>
          <t>Bodyweight</t>
        </is>
      </c>
      <c r="I123" s="8" t="inlineStr">
        <is>
          <t>Home, Gym, Outdoors</t>
        </is>
      </c>
      <c r="J123" s="8" t="n">
        <v>1</v>
      </c>
      <c r="K123" s="8" t="inlineStr">
        <is>
          <t>9+ (kids)</t>
        </is>
      </c>
      <c r="L123" s="8" t="inlineStr">
        <is>
          <t>Standing, With support, Seated</t>
        </is>
      </c>
      <c r="M123" s="8" t="inlineStr">
        <is>
          <t>Recent surgery</t>
        </is>
      </c>
      <c r="N123" s="8" t="inlineStr">
        <is>
          <t>Cross your ankles, pull the back heel toward the chair while the front leg resists; hold without moving, then switch.</t>
        </is>
      </c>
      <c r="O123" s="8" t="inlineStr">
        <is>
          <t>Main work</t>
        </is>
      </c>
      <c r="P123" s="8" t="inlineStr">
        <is>
          <t>Knee: Bend the knee deep (hold, no movement)
Knee: Straighten with effort (hold, no movement)</t>
        </is>
      </c>
      <c r="Q123" s="9" t="n"/>
      <c r="R123" s="9" t="n"/>
    </row>
    <row r="124">
      <c r="A124" s="8" t="n">
        <v>123</v>
      </c>
      <c r="B124" s="8" t="inlineStr">
        <is>
          <t>sl_seated_heel_back_kicks</t>
        </is>
      </c>
      <c r="C124" s="8" t="inlineStr">
        <is>
          <t>Seated heel-back kicks</t>
        </is>
      </c>
      <c r="D124" s="8" t="inlineStr">
        <is>
          <t>Has video (woman + man)</t>
        </is>
      </c>
      <c r="E124" s="8" t="inlineStr">
        <is>
          <t>sl_seated_heel_back_kicks.f.mp4</t>
        </is>
      </c>
      <c r="F124" s="8" t="inlineStr">
        <is>
          <t>sl_seated_heel_back_kicks.m.mp4</t>
        </is>
      </c>
      <c r="G124" s="8" t="inlineStr">
        <is>
          <t>Hamstrings (Hamstrings): primary, 0.6
Hips (Hip flexors): secondary, 0.2</t>
        </is>
      </c>
      <c r="H124" s="8" t="inlineStr">
        <is>
          <t>Bodyweight</t>
        </is>
      </c>
      <c r="I124" s="8" t="inlineStr">
        <is>
          <t>Home, Gym, Outdoors</t>
        </is>
      </c>
      <c r="J124" s="8" t="n">
        <v>1</v>
      </c>
      <c r="K124" s="8" t="inlineStr">
        <is>
          <t>13+ (teens)</t>
        </is>
      </c>
      <c r="L124" s="8" t="inlineStr">
        <is>
          <t>Standing, With support, Seated</t>
        </is>
      </c>
      <c r="M124" s="8" t="inlineStr">
        <is>
          <t>Knee, Recent surgery</t>
        </is>
      </c>
      <c r="N124" s="8" t="inlineStr">
        <is>
          <t>Sit near the edge, lift one foot slightly and curl the heel back under the chair, then extend forward; repeat smoothly.</t>
        </is>
      </c>
      <c r="O124" s="8" t="inlineStr">
        <is>
          <t>Main work</t>
        </is>
      </c>
      <c r="P124" s="8" t="inlineStr">
        <is>
          <t>Knee: Bend the knee deep (partial)</t>
        </is>
      </c>
      <c r="Q124" s="9" t="n"/>
      <c r="R124" s="9" t="n"/>
    </row>
    <row r="125">
      <c r="A125" s="8" t="n">
        <v>124</v>
      </c>
      <c r="B125" s="8" t="inlineStr">
        <is>
          <t>sf_seated_fist_knee_squeeze</t>
        </is>
      </c>
      <c r="C125" s="8" t="inlineStr">
        <is>
          <t>Seated fist knee squeeze</t>
        </is>
      </c>
      <c r="D125" s="8" t="inlineStr">
        <is>
          <t>Has video (woman + man)</t>
        </is>
      </c>
      <c r="E125" s="8" t="inlineStr">
        <is>
          <t>sf_seated_fist_knee_squeeze.f.mp4</t>
        </is>
      </c>
      <c r="F125" s="8" t="inlineStr">
        <is>
          <t>sf_seated_fist_knee_squeeze.m.mp4</t>
        </is>
      </c>
      <c r="G125" s="8" t="inlineStr">
        <is>
          <t>Inner thighs (Hip adductors): primary, 0.9
Hips (Hip flexors): secondary, 0.2</t>
        </is>
      </c>
      <c r="H125" s="8" t="inlineStr">
        <is>
          <t>Bodyweight</t>
        </is>
      </c>
      <c r="I125" s="8" t="inlineStr">
        <is>
          <t>Home, Gym, Outdoors</t>
        </is>
      </c>
      <c r="J125" s="8" t="n">
        <v>1</v>
      </c>
      <c r="K125" s="8" t="inlineStr">
        <is>
          <t>9+ (kids)</t>
        </is>
      </c>
      <c r="L125" s="8" t="inlineStr">
        <is>
          <t>Standing, With support, Seated</t>
        </is>
      </c>
      <c r="M125" s="8" t="inlineStr">
        <is>
          <t>Hip, Recent surgery</t>
        </is>
      </c>
      <c r="N125" s="8" t="inlineStr">
        <is>
          <t>Sit tall with both fists between your knees and squeeze them together for 3 seconds, then relax.</t>
        </is>
      </c>
      <c r="O125" s="8" t="inlineStr">
        <is>
          <t>Main work</t>
        </is>
      </c>
      <c r="P125" s="8" t="inlineStr">
        <is>
          <t>Hip: Leg across (hold, no movement)</t>
        </is>
      </c>
      <c r="Q125" s="9" t="n"/>
      <c r="R125" s="9" t="n"/>
    </row>
    <row r="126">
      <c r="A126" s="8" t="n">
        <v>125</v>
      </c>
      <c r="B126" s="8" t="inlineStr">
        <is>
          <t>sf_seated_back_arch_reach</t>
        </is>
      </c>
      <c r="C126" s="8" t="inlineStr">
        <is>
          <t>Seated back arch reach</t>
        </is>
      </c>
      <c r="D126" s="8" t="inlineStr">
        <is>
          <t>Has video (woman + man)</t>
        </is>
      </c>
      <c r="E126" s="8" t="inlineStr">
        <is>
          <t>sf_seated_back_arch_reach.f.mp4</t>
        </is>
      </c>
      <c r="F126" s="8" t="inlineStr">
        <is>
          <t>sf_seated_back_arch_reach.m.mp4</t>
        </is>
      </c>
      <c r="G126" s="8" t="inlineStr">
        <is>
          <t>Lower back (Erector spinae): primary, 0.8
Upper back (Rhomboids and middle trapezius): secondary, 0.4
Glutes (Gluteus maximus and medius): secondary, 0.2</t>
        </is>
      </c>
      <c r="H126" s="8" t="inlineStr">
        <is>
          <t>Bodyweight</t>
        </is>
      </c>
      <c r="I126" s="8" t="inlineStr">
        <is>
          <t>Home, Gym, Outdoors</t>
        </is>
      </c>
      <c r="J126" s="8" t="n">
        <v>1</v>
      </c>
      <c r="K126" s="8" t="inlineStr">
        <is>
          <t>13+ (teens)</t>
        </is>
      </c>
      <c r="L126" s="8" t="inlineStr">
        <is>
          <t>Standing, With support, Seated</t>
        </is>
      </c>
      <c r="M126" s="8" t="inlineStr">
        <is>
          <t>Lower back, Recent surgery</t>
        </is>
      </c>
      <c r="N126" s="8" t="inlineStr">
        <is>
          <t>Sit on the front of the chair, lean slightly forward, then lift your chest and reach your arms forward, back tall.</t>
        </is>
      </c>
      <c r="O126" s="8" t="inlineStr">
        <is>
          <t>Main work</t>
        </is>
      </c>
      <c r="P126" s="8" t="inlineStr">
        <is>
          <t>Lower back: Arch your back (partial)</t>
        </is>
      </c>
      <c r="Q126" s="9" t="n"/>
      <c r="R126" s="9" t="n"/>
    </row>
    <row r="127">
      <c r="A127" s="8" t="n">
        <v>126</v>
      </c>
      <c r="B127" s="8" t="inlineStr">
        <is>
          <t>sf_seated_hip_hinge_lift</t>
        </is>
      </c>
      <c r="C127" s="8" t="inlineStr">
        <is>
          <t>Seated hip hinge lift</t>
        </is>
      </c>
      <c r="D127" s="8" t="inlineStr">
        <is>
          <t>Has video (woman + man)</t>
        </is>
      </c>
      <c r="E127" s="8" t="inlineStr">
        <is>
          <t>sf_seated_hip_hinge_lift.f.mp4</t>
        </is>
      </c>
      <c r="F127" s="8" t="inlineStr">
        <is>
          <t>sf_seated_hip_hinge_lift.m.mp4</t>
        </is>
      </c>
      <c r="G127" s="8" t="inlineStr">
        <is>
          <t>Lower back (Erector spinae): primary, 0.8
Hamstrings (Hamstrings): secondary, 0.3
Glutes (Gluteus maximus and medius): secondary, 0.3</t>
        </is>
      </c>
      <c r="H127" s="8" t="inlineStr">
        <is>
          <t>Bodyweight</t>
        </is>
      </c>
      <c r="I127" s="8" t="inlineStr">
        <is>
          <t>Home, Gym, Outdoors</t>
        </is>
      </c>
      <c r="J127" s="8" t="n">
        <v>1</v>
      </c>
      <c r="K127" s="8" t="inlineStr">
        <is>
          <t>13+ (teens)</t>
        </is>
      </c>
      <c r="L127" s="8" t="inlineStr">
        <is>
          <t>Standing, With support, Seated</t>
        </is>
      </c>
      <c r="M127" s="8" t="inlineStr">
        <is>
          <t>Lower back, Hip, Recent surgery</t>
        </is>
      </c>
      <c r="N127" s="8" t="inlineStr">
        <is>
          <t>Hands on thighs, hinge forward from the hips with a flat back, then lift back up by tightening your lower back.</t>
        </is>
      </c>
      <c r="O127" s="8" t="inlineStr">
        <is>
          <t>Main work</t>
        </is>
      </c>
      <c r="P127" s="8" t="inlineStr">
        <is>
          <t>Hip: Knee toward chest (partial)
Lower back: Arch your back (hold, no movement)</t>
        </is>
      </c>
      <c r="Q127" s="9" t="n"/>
      <c r="R127" s="9" t="n"/>
    </row>
    <row r="128">
      <c r="A128" s="8" t="n">
        <v>127</v>
      </c>
      <c r="B128" s="8" t="inlineStr">
        <is>
          <t>crossover_arm_stretch</t>
        </is>
      </c>
      <c r="C128" s="8" t="inlineStr">
        <is>
          <t>Crossover arm stretch</t>
        </is>
      </c>
      <c r="D128" s="8" t="inlineStr">
        <is>
          <t>Has video (woman + man)</t>
        </is>
      </c>
      <c r="E128" s="8" t="inlineStr">
        <is>
          <t>crossover_arm_stretch.f.mp4</t>
        </is>
      </c>
      <c r="F128" s="8" t="inlineStr">
        <is>
          <t>crossover_arm_stretch.m.mp4</t>
        </is>
      </c>
      <c r="G128" s="8" t="inlineStr">
        <is>
          <t>Rear shoulders (Deltoid · rear head): primary, 0.8
Rotator cuff (Supraspinatus, infraspinatus, teres minor, subscapularis): secondary, 0.4</t>
        </is>
      </c>
      <c r="H128" s="8" t="inlineStr">
        <is>
          <t>Bodyweight</t>
        </is>
      </c>
      <c r="I128" s="8" t="inlineStr">
        <is>
          <t>Home, Gym, Outdoors</t>
        </is>
      </c>
      <c r="J128" s="8" t="n">
        <v>1</v>
      </c>
      <c r="K128" s="8" t="inlineStr">
        <is>
          <t>13+ (teens)</t>
        </is>
      </c>
      <c r="L128" s="8" t="inlineStr">
        <is>
          <t>Standing, With support, Seated</t>
        </is>
      </c>
      <c r="M128" s="8" t="inlineStr">
        <is>
          <t>Recent surgery</t>
        </is>
      </c>
      <c r="N128" s="8" t="inlineStr">
        <is>
          <t>Relax your shoulders. With the other hand on your arm, just above the elbow, bring the arm across your chest until you feel the stretch at the back of the shoulder. Hold 30 s, release 30 s. Don't pull on the elbow itself.</t>
        </is>
      </c>
      <c r="O128" s="8" t="inlineStr">
        <is>
          <t>Main work, Cool-down: stretch</t>
        </is>
      </c>
      <c r="P128" s="8" t="inlineStr">
        <is>
          <t>Shoulder: Raise arm in front (partial)</t>
        </is>
      </c>
      <c r="Q128" s="9" t="n"/>
      <c r="R128" s="9" t="n"/>
    </row>
    <row r="129">
      <c r="A129" s="8" t="n">
        <v>128</v>
      </c>
      <c r="B129" s="8" t="inlineStr">
        <is>
          <t>arm_circles</t>
        </is>
      </c>
      <c r="C129" s="8" t="inlineStr">
        <is>
          <t>Arm circles</t>
        </is>
      </c>
      <c r="D129" s="8" t="inlineStr">
        <is>
          <t>Can appear in a first workout</t>
        </is>
      </c>
      <c r="E129" s="8" t="inlineStr">
        <is>
          <t>missing (coming)</t>
        </is>
      </c>
      <c r="F129" s="8" t="inlineStr">
        <is>
          <t>missing (coming)</t>
        </is>
      </c>
      <c r="G129" s="8" t="inlineStr">
        <is>
          <t>Front shoulders (Deltoid · front head): primary, 0.6
Rear shoulders (Deltoid · rear head): secondary, 0.4</t>
        </is>
      </c>
      <c r="H129" s="8" t="inlineStr">
        <is>
          <t>Bodyweight</t>
        </is>
      </c>
      <c r="I129" s="8" t="inlineStr">
        <is>
          <t>Home, Gym, Outdoors</t>
        </is>
      </c>
      <c r="J129" s="8" t="n">
        <v>1</v>
      </c>
      <c r="K129" s="8" t="inlineStr">
        <is>
          <t>9+ (kids)</t>
        </is>
      </c>
      <c r="L129" s="8" t="inlineStr">
        <is>
          <t>Standing, With support, Seated</t>
        </is>
      </c>
      <c r="M129" s="8" t="inlineStr">
        <is>
          <t>None</t>
        </is>
      </c>
      <c r="N129" s="8" t="inlineStr">
        <is>
          <t>Draw slow circles with straight arms, forward then back.</t>
        </is>
      </c>
      <c r="O129" s="8" t="inlineStr">
        <is>
          <t>Warm-up: mobility</t>
        </is>
      </c>
      <c r="P129" s="8" t="inlineStr">
        <is>
          <t>Shoulder: Raise arm to the side (full)
Shoulder: Raise arm in front (full)</t>
        </is>
      </c>
      <c r="Q129" s="9" t="n"/>
      <c r="R129" s="9" t="n"/>
    </row>
    <row r="130">
      <c r="A130" s="8" t="n">
        <v>129</v>
      </c>
      <c r="B130" s="8" t="inlineStr">
        <is>
          <t>assisted_pull_up_machine</t>
        </is>
      </c>
      <c r="C130" s="8" t="inlineStr">
        <is>
          <t>Assisted pull-up machine</t>
        </is>
      </c>
      <c r="D130" s="8" t="inlineStr">
        <is>
          <t>Can appear in a first workout</t>
        </is>
      </c>
      <c r="E130" s="8" t="inlineStr">
        <is>
          <t>missing (coming)</t>
        </is>
      </c>
      <c r="F130" s="8" t="inlineStr">
        <is>
          <t>missing (coming)</t>
        </is>
      </c>
      <c r="G130" s="8" t="inlineStr">
        <is>
          <t>Lats (Latissimus dorsi): primary, 1.0
Biceps (Biceps brachii): secondary, 0.5
Upper back (Rhomboids and middle trapezius): secondary, 0.5</t>
        </is>
      </c>
      <c r="H130" s="8" t="inlineStr">
        <is>
          <t>Assisted pull-up / dip machine</t>
        </is>
      </c>
      <c r="I130" s="8" t="inlineStr">
        <is>
          <t>Gym</t>
        </is>
      </c>
      <c r="J130" s="8" t="n">
        <v>2</v>
      </c>
      <c r="K130" s="8" t="inlineStr">
        <is>
          <t>13+ (teens)</t>
        </is>
      </c>
      <c r="L130" s="8" t="inlineStr">
        <is>
          <t>Standing, With support</t>
        </is>
      </c>
      <c r="M130" s="8" t="inlineStr">
        <is>
          <t>Shoulder, Recent surgery, Knee</t>
        </is>
      </c>
      <c r="N130" s="8" t="inlineStr">
        <is>
          <t>Kneel on the pad, grip the handles, and pull your chest up toward them, then lower slowly.</t>
        </is>
      </c>
      <c r="O130" s="8" t="inlineStr">
        <is>
          <t>Main work</t>
        </is>
      </c>
      <c r="P130" s="8" t="inlineStr">
        <is>
          <t>Shoulder: Arm overhead (full)
Shoulder: Pull (full)
Elbow: Bend elbow with weight (full)
Wrist: Grip tight (full)
Knee: Kneel (partial)</t>
        </is>
      </c>
      <c r="Q130" s="9" t="n"/>
      <c r="R130" s="9" t="n"/>
    </row>
    <row r="131">
      <c r="A131" s="8" t="n">
        <v>130</v>
      </c>
      <c r="B131" s="8" t="inlineStr">
        <is>
          <t>bal_seated_head_turns</t>
        </is>
      </c>
      <c r="C131" s="8" t="inlineStr">
        <is>
          <t>Seated head turns</t>
        </is>
      </c>
      <c r="D131" s="8" t="inlineStr">
        <is>
          <t>Can appear in a first workout</t>
        </is>
      </c>
      <c r="E131" s="8" t="inlineStr">
        <is>
          <t>bal_seated_head_turns.f.mp4</t>
        </is>
      </c>
      <c r="F131" s="8" t="inlineStr">
        <is>
          <t>missing (coming)</t>
        </is>
      </c>
      <c r="G131" s="8" t="inlineStr">
        <is>
          <t>Abs (Rectus abdominis): primary, 0.5
Traps (Trapezius): secondary, 0.3
Obliques (External and internal obliques): secondary, 0.3</t>
        </is>
      </c>
      <c r="H131" s="8" t="inlineStr">
        <is>
          <t>Bodyweight</t>
        </is>
      </c>
      <c r="I131" s="8" t="inlineStr">
        <is>
          <t>Home, Gym, Outdoors</t>
        </is>
      </c>
      <c r="J131" s="8" t="n">
        <v>1</v>
      </c>
      <c r="K131" s="8" t="inlineStr">
        <is>
          <t>9+ (kids)</t>
        </is>
      </c>
      <c r="L131" s="8" t="inlineStr">
        <is>
          <t>Standing, With support, Seated</t>
        </is>
      </c>
      <c r="M131" s="8" t="inlineStr">
        <is>
          <t>Neck, Recent surgery</t>
        </is>
      </c>
      <c r="N131" s="8" t="inlineStr">
        <is>
          <t>Sit tall away from the backrest, feet flat; slowly turn your head side to side while your trunk stays still.</t>
        </is>
      </c>
      <c r="O131" s="8" t="inlineStr">
        <is>
          <t>Main work, Finisher: mobility</t>
        </is>
      </c>
      <c r="P131" s="8" t="inlineStr">
        <is>
          <t>Neck: Turn your head (partial)</t>
        </is>
      </c>
      <c r="Q131" s="9" t="n"/>
      <c r="R131" s="9" t="n"/>
    </row>
    <row r="132">
      <c r="A132" s="8" t="n">
        <v>131</v>
      </c>
      <c r="B132" s="8" t="inlineStr">
        <is>
          <t>band_chest_fly</t>
        </is>
      </c>
      <c r="C132" s="8" t="inlineStr">
        <is>
          <t>Band chest fly</t>
        </is>
      </c>
      <c r="D132" s="8" t="inlineStr">
        <is>
          <t>Can appear in a first workout</t>
        </is>
      </c>
      <c r="E132" s="8" t="inlineStr">
        <is>
          <t>missing (coming)</t>
        </is>
      </c>
      <c r="F132" s="8" t="inlineStr">
        <is>
          <t>band_chest_fly.m.mp4</t>
        </is>
      </c>
      <c r="G132" s="8" t="inlineStr">
        <is>
          <t>Mid chest (Pectoralis major · sternal head): primary, 1.0
Front shoulders (Deltoid · front head): secondary, 0.3</t>
        </is>
      </c>
      <c r="H132" s="8" t="inlineStr">
        <is>
          <t>Long resistance bands</t>
        </is>
      </c>
      <c r="I132" s="8" t="inlineStr">
        <is>
          <t>Home, Gym, Outdoors</t>
        </is>
      </c>
      <c r="J132" s="8" t="n">
        <v>1</v>
      </c>
      <c r="K132" s="8" t="inlineStr">
        <is>
          <t>9+ (kids)</t>
        </is>
      </c>
      <c r="L132" s="8" t="inlineStr">
        <is>
          <t>Standing, With support, Seated</t>
        </is>
      </c>
      <c r="M132" s="8" t="inlineStr">
        <is>
          <t>Shoulder, Recent surgery</t>
        </is>
      </c>
      <c r="N132" s="8" t="inlineStr">
        <is>
          <t>Band anchored behind you, arms softly bent, hug your hands together in front of your chest.</t>
        </is>
      </c>
      <c r="O132" s="8" t="inlineStr">
        <is>
          <t>Main work</t>
        </is>
      </c>
      <c r="P132" s="8" t="inlineStr">
        <is>
          <t>Shoulder: Push (full)
Wrist: Grip tight (partial)</t>
        </is>
      </c>
      <c r="Q132" s="9" t="n"/>
      <c r="R132" s="9" t="n"/>
    </row>
    <row r="133">
      <c r="A133" s="8" t="n">
        <v>132</v>
      </c>
      <c r="B133" s="8" t="inlineStr">
        <is>
          <t>band_lat_pulldown</t>
        </is>
      </c>
      <c r="C133" s="8" t="inlineStr">
        <is>
          <t>Band lat pulldown</t>
        </is>
      </c>
      <c r="D133" s="8" t="inlineStr">
        <is>
          <t>Can appear in a first workout</t>
        </is>
      </c>
      <c r="E133" s="8" t="inlineStr">
        <is>
          <t>band_lat_pulldown.f.mp4</t>
        </is>
      </c>
      <c r="F133" s="8" t="inlineStr">
        <is>
          <t>missing (coming)</t>
        </is>
      </c>
      <c r="G133" s="8" t="inlineStr">
        <is>
          <t>Lats (Latissimus dorsi): primary, 1.0
Biceps (Biceps brachii): secondary, 0.4
Upper back (Rhomboids and middle trapezius): secondary, 0.4</t>
        </is>
      </c>
      <c r="H133" s="8" t="inlineStr">
        <is>
          <t>Long resistance bands</t>
        </is>
      </c>
      <c r="I133" s="8" t="inlineStr">
        <is>
          <t>Home, Gym, Outdoors</t>
        </is>
      </c>
      <c r="J133" s="8" t="n">
        <v>1</v>
      </c>
      <c r="K133" s="8" t="inlineStr">
        <is>
          <t>9+ (kids)</t>
        </is>
      </c>
      <c r="L133" s="8" t="inlineStr">
        <is>
          <t>Standing, With support</t>
        </is>
      </c>
      <c r="M133" s="8" t="inlineStr">
        <is>
          <t>Shoulder, Recent surgery</t>
        </is>
      </c>
      <c r="N133" s="8" t="inlineStr">
        <is>
          <t>Anchor the band high, sit or stand, and pull your elbows down to your sides toward your back pockets.</t>
        </is>
      </c>
      <c r="O133" s="8" t="inlineStr">
        <is>
          <t>Main work</t>
        </is>
      </c>
      <c r="P133" s="8" t="inlineStr">
        <is>
          <t>Shoulder: Arm overhead (full)
Shoulder: Pull (full)
Elbow: Bend elbow with weight (full)
Wrist: Grip tight (partial)</t>
        </is>
      </c>
      <c r="Q133" s="9" t="n"/>
      <c r="R133" s="9" t="n"/>
    </row>
    <row r="134">
      <c r="A134" s="8" t="n">
        <v>133</v>
      </c>
      <c r="B134" s="8" t="inlineStr">
        <is>
          <t>barbell_hip_thrust</t>
        </is>
      </c>
      <c r="C134" s="8" t="inlineStr">
        <is>
          <t>Barbell hip thrust</t>
        </is>
      </c>
      <c r="D134" s="8" t="inlineStr">
        <is>
          <t>Can appear in a first workout</t>
        </is>
      </c>
      <c r="E134" s="8" t="inlineStr">
        <is>
          <t>missing (coming)</t>
        </is>
      </c>
      <c r="F134" s="8" t="inlineStr">
        <is>
          <t>missing (coming)</t>
        </is>
      </c>
      <c r="G134" s="8" t="inlineStr">
        <is>
          <t>Glutes (Gluteus maximus and medius): primary, 1.0
Hamstrings (Hamstrings): secondary, 0.4</t>
        </is>
      </c>
      <c r="H134" s="8" t="inlineStr">
        <is>
          <t>Barbell, Flat bench</t>
        </is>
      </c>
      <c r="I134" s="8" t="inlineStr">
        <is>
          <t>Gym</t>
        </is>
      </c>
      <c r="J134" s="8" t="n">
        <v>3</v>
      </c>
      <c r="K134" s="8" t="inlineStr">
        <is>
          <t>13+ (teens)</t>
        </is>
      </c>
      <c r="L134" s="8" t="inlineStr">
        <is>
          <t>Standing</t>
        </is>
      </c>
      <c r="M134" s="8" t="inlineStr">
        <is>
          <t>Pregnant / postpartum, Recent surgery</t>
        </is>
      </c>
      <c r="N134" s="8" t="inlineStr">
        <is>
          <t>Upper back on a bench, padded bar on hips; drive hips up until level, pause, lower slowly.</t>
        </is>
      </c>
      <c r="O134" s="8" t="inlineStr">
        <is>
          <t>Main work</t>
        </is>
      </c>
      <c r="P134" s="8" t="inlineStr">
        <is>
          <t>Hip: Leg behind you (full)
Lower back: Arch your back (hold, no movement)
Knee: Bend the knee deep (hold, no movement)</t>
        </is>
      </c>
      <c r="Q134" s="9" t="n"/>
      <c r="R134" s="9" t="n"/>
    </row>
    <row r="135">
      <c r="A135" s="8" t="n">
        <v>134</v>
      </c>
      <c r="B135" s="8" t="inlineStr">
        <is>
          <t>box_breathing</t>
        </is>
      </c>
      <c r="C135" s="8" t="inlineStr">
        <is>
          <t>Slow breathing</t>
        </is>
      </c>
      <c r="D135" s="8" t="inlineStr">
        <is>
          <t>Can appear in a first workout</t>
        </is>
      </c>
      <c r="E135" s="8" t="inlineStr">
        <is>
          <t>missing (coming)</t>
        </is>
      </c>
      <c r="F135" s="8" t="inlineStr">
        <is>
          <t>missing (coming)</t>
        </is>
      </c>
      <c r="G135" s="8" t="inlineStr">
        <is>
          <t>— (breathing, no muscle mapping)</t>
        </is>
      </c>
      <c r="H135" s="8" t="inlineStr">
        <is>
          <t>Bodyweight</t>
        </is>
      </c>
      <c r="I135" s="8" t="inlineStr">
        <is>
          <t>Home, Gym, Outdoors</t>
        </is>
      </c>
      <c r="J135" s="8" t="n">
        <v>1</v>
      </c>
      <c r="K135" s="8" t="inlineStr">
        <is>
          <t>9+ (kids)</t>
        </is>
      </c>
      <c r="L135" s="8" t="inlineStr">
        <is>
          <t>Standing, With support, Seated</t>
        </is>
      </c>
      <c r="M135" s="8" t="inlineStr">
        <is>
          <t>Heart condition, High blood pressure</t>
        </is>
      </c>
      <c r="N135" s="8" t="inlineStr">
        <is>
          <t>Breathe in for 4, hold 4, out for 4, hold 4.</t>
        </is>
      </c>
      <c r="O135" s="8" t="inlineStr">
        <is>
          <t>Cool-down: breathing</t>
        </is>
      </c>
      <c r="P135" s="8" t="inlineStr">
        <is>
          <t>—</t>
        </is>
      </c>
      <c r="Q135" s="9" t="n"/>
      <c r="R135" s="9" t="n"/>
    </row>
    <row r="136">
      <c r="A136" s="8" t="n">
        <v>135</v>
      </c>
      <c r="B136" s="8" t="inlineStr">
        <is>
          <t>bridge_floor_press</t>
        </is>
      </c>
      <c r="C136" s="8" t="inlineStr">
        <is>
          <t>Bridge floor press</t>
        </is>
      </c>
      <c r="D136" s="8" t="inlineStr">
        <is>
          <t>Can appear in a first workout</t>
        </is>
      </c>
      <c r="E136" s="8" t="inlineStr">
        <is>
          <t>bridge_floor_press.f.mp4</t>
        </is>
      </c>
      <c r="F136" s="8" t="inlineStr">
        <is>
          <t>missing (coming)</t>
        </is>
      </c>
      <c r="G136" s="8" t="inlineStr">
        <is>
          <t>Lower chest (Pectoralis major · lower fibers): primary, 1.0
Triceps (Triceps brachii): secondary, 0.5
Glutes (Gluteus maximus and medius): secondary, 0.4</t>
        </is>
      </c>
      <c r="H136" s="8" t="inlineStr">
        <is>
          <t>Dumbbells</t>
        </is>
      </c>
      <c r="I136" s="8" t="inlineStr">
        <is>
          <t>Home, Gym</t>
        </is>
      </c>
      <c r="J136" s="8" t="n">
        <v>2</v>
      </c>
      <c r="K136" s="8" t="inlineStr">
        <is>
          <t>13+ (teens)</t>
        </is>
      </c>
      <c r="L136" s="8" t="inlineStr">
        <is>
          <t>Standing</t>
        </is>
      </c>
      <c r="M136" s="8" t="inlineStr">
        <is>
          <t>Shoulder, Elbow / wrist, Pregnant / postpartum, Recent surgery</t>
        </is>
      </c>
      <c r="N136" s="8" t="inlineStr">
        <is>
          <t>Lie on the floor, lift your hips into a bridge and press the dumbbells up over your lower chest.</t>
        </is>
      </c>
      <c r="O136" s="8" t="inlineStr">
        <is>
          <t>Main work</t>
        </is>
      </c>
      <c r="P136" s="8" t="inlineStr">
        <is>
          <t>Shoulder: Push (full)
Elbow: Straighten elbow with weight (full)
Wrist: Grip tight (partial)
Hip: Leg behind you (hold, no movement)
Knee: Bend the knee deep (hold, no movement)</t>
        </is>
      </c>
      <c r="Q136" s="9" t="n"/>
      <c r="R136" s="9" t="n"/>
    </row>
    <row r="137">
      <c r="A137" s="8" t="n">
        <v>136</v>
      </c>
      <c r="B137" s="8" t="inlineStr">
        <is>
          <t>brisk_walk</t>
        </is>
      </c>
      <c r="C137" s="8" t="inlineStr">
        <is>
          <t>Brisk walk</t>
        </is>
      </c>
      <c r="D137" s="8" t="inlineStr">
        <is>
          <t>Can appear in a first workout</t>
        </is>
      </c>
      <c r="E137" s="8" t="inlineStr">
        <is>
          <t>missing (coming)</t>
        </is>
      </c>
      <c r="F137" s="8" t="inlineStr">
        <is>
          <t>missing (coming)</t>
        </is>
      </c>
      <c r="G137" s="8" t="inlineStr">
        <is>
          <t>Quads (Quadriceps): primary, 0.6
Calves (Gastrocnemius and soleus): secondary, 0.5
Glutes (Gluteus maximus and medius): secondary, 0.4</t>
        </is>
      </c>
      <c r="H137" s="8" t="inlineStr">
        <is>
          <t>Bodyweight</t>
        </is>
      </c>
      <c r="I137" s="8" t="inlineStr">
        <is>
          <t>Gym, Outdoors</t>
        </is>
      </c>
      <c r="J137" s="8" t="n">
        <v>1</v>
      </c>
      <c r="K137" s="8" t="inlineStr">
        <is>
          <t>9+ (kids)</t>
        </is>
      </c>
      <c r="L137" s="8" t="inlineStr">
        <is>
          <t>Standing</t>
        </is>
      </c>
      <c r="M137" s="8" t="inlineStr">
        <is>
          <t>None</t>
        </is>
      </c>
      <c r="N137" s="8" t="inlineStr">
        <is>
          <t>Walk at a pace where you can still talk.</t>
        </is>
      </c>
      <c r="O137" s="8" t="inlineStr">
        <is>
          <t>Warm-up: easy cardio, Finisher: cardio, Cool-down: walk</t>
        </is>
      </c>
      <c r="P137" s="8" t="inlineStr">
        <is>
          <t>Knee: Straighten with effort (partial)
Ankle: Knee over toes (partial)
Ankle: Tiptoe (partial)</t>
        </is>
      </c>
      <c r="Q137" s="9" t="n"/>
      <c r="R137" s="9" t="n"/>
    </row>
    <row r="138">
      <c r="A138" s="8" t="n">
        <v>137</v>
      </c>
      <c r="B138" s="8" t="inlineStr">
        <is>
          <t>cable_chest_fly</t>
        </is>
      </c>
      <c r="C138" s="8" t="inlineStr">
        <is>
          <t>Cable chest fly</t>
        </is>
      </c>
      <c r="D138" s="8" t="inlineStr">
        <is>
          <t>Can appear in a first workout</t>
        </is>
      </c>
      <c r="E138" s="8" t="inlineStr">
        <is>
          <t>missing (coming)</t>
        </is>
      </c>
      <c r="F138" s="8" t="inlineStr">
        <is>
          <t>cable_chest_fly.m.mp4</t>
        </is>
      </c>
      <c r="G138" s="8" t="inlineStr">
        <is>
          <t>Mid chest (Pectoralis major · sternal head): primary, 1.0
Front shoulders (Deltoid · front head): secondary, 0.3</t>
        </is>
      </c>
      <c r="H138" s="8" t="inlineStr">
        <is>
          <t>Cable station</t>
        </is>
      </c>
      <c r="I138" s="8" t="inlineStr">
        <is>
          <t>Gym</t>
        </is>
      </c>
      <c r="J138" s="8" t="n">
        <v>2</v>
      </c>
      <c r="K138" s="8" t="inlineStr">
        <is>
          <t>13+ (teens)</t>
        </is>
      </c>
      <c r="L138" s="8" t="inlineStr">
        <is>
          <t>Standing</t>
        </is>
      </c>
      <c r="M138" s="8" t="inlineStr">
        <is>
          <t>Shoulder, Recent surgery</t>
        </is>
      </c>
      <c r="N138" s="8" t="inlineStr">
        <is>
          <t>Pulleys at shoulder height, staggered stance, hug the handles together in front of your chest.</t>
        </is>
      </c>
      <c r="O138" s="8" t="inlineStr">
        <is>
          <t>Main work</t>
        </is>
      </c>
      <c r="P138" s="8" t="inlineStr">
        <is>
          <t>Shoulder: Push (full)
Wrist: Grip tight (partial)</t>
        </is>
      </c>
      <c r="Q138" s="9" t="n"/>
      <c r="R138" s="9" t="n"/>
    </row>
    <row r="139">
      <c r="A139" s="8" t="n">
        <v>138</v>
      </c>
      <c r="B139" s="8" t="inlineStr">
        <is>
          <t>cable_pallof_press</t>
        </is>
      </c>
      <c r="C139" s="8" t="inlineStr">
        <is>
          <t>Cable Pallof press</t>
        </is>
      </c>
      <c r="D139" s="8" t="inlineStr">
        <is>
          <t>Can appear in a first workout</t>
        </is>
      </c>
      <c r="E139" s="8" t="inlineStr">
        <is>
          <t>missing (coming)</t>
        </is>
      </c>
      <c r="F139" s="8" t="inlineStr">
        <is>
          <t>missing (coming)</t>
        </is>
      </c>
      <c r="G139" s="8" t="inlineStr">
        <is>
          <t>Obliques (External and internal obliques): primary, 0.8
Lower abs (Rectus abdominis · lower): secondary, 0.4</t>
        </is>
      </c>
      <c r="H139" s="8" t="inlineStr">
        <is>
          <t>Cable station</t>
        </is>
      </c>
      <c r="I139" s="8" t="inlineStr">
        <is>
          <t>Gym</t>
        </is>
      </c>
      <c r="J139" s="8" t="n">
        <v>1</v>
      </c>
      <c r="K139" s="8" t="inlineStr">
        <is>
          <t>13+ (teens)</t>
        </is>
      </c>
      <c r="L139" s="8" t="inlineStr">
        <is>
          <t>Standing, Seated</t>
        </is>
      </c>
      <c r="M139" s="8" t="inlineStr">
        <is>
          <t>Recent surgery</t>
        </is>
      </c>
      <c r="N139" s="8" t="inlineStr">
        <is>
          <t>Stand side-on to a chest-high cable; press the handle straight out without turning, hold, return.</t>
        </is>
      </c>
      <c r="O139" s="8" t="inlineStr">
        <is>
          <t>Main work</t>
        </is>
      </c>
      <c r="P139" s="8" t="inlineStr">
        <is>
          <t>Shoulder: Push (partial)
Lower back: Twist (hold, no movement)</t>
        </is>
      </c>
      <c r="Q139" s="9" t="n"/>
      <c r="R139" s="9" t="n"/>
    </row>
    <row r="140">
      <c r="A140" s="8" t="n">
        <v>139</v>
      </c>
      <c r="B140" s="8" t="inlineStr">
        <is>
          <t>cat_cow</t>
        </is>
      </c>
      <c r="C140" s="8" t="inlineStr">
        <is>
          <t>Cat-cow</t>
        </is>
      </c>
      <c r="D140" s="8" t="inlineStr">
        <is>
          <t>Can appear in a first workout</t>
        </is>
      </c>
      <c r="E140" s="8" t="inlineStr">
        <is>
          <t>missing (coming)</t>
        </is>
      </c>
      <c r="F140" s="8" t="inlineStr">
        <is>
          <t>missing (coming)</t>
        </is>
      </c>
      <c r="G140" s="8" t="inlineStr">
        <is>
          <t>Lower back (Erector spinae): primary, 0.6
Upper back (Rhomboids and middle trapezius): secondary, 0.4</t>
        </is>
      </c>
      <c r="H140" s="8" t="inlineStr">
        <is>
          <t>Bodyweight</t>
        </is>
      </c>
      <c r="I140" s="8" t="inlineStr">
        <is>
          <t>Home, Gym</t>
        </is>
      </c>
      <c r="J140" s="8" t="n">
        <v>1</v>
      </c>
      <c r="K140" s="8" t="inlineStr">
        <is>
          <t>9+ (kids)</t>
        </is>
      </c>
      <c r="L140" s="8" t="inlineStr">
        <is>
          <t>Standing</t>
        </is>
      </c>
      <c r="M140" s="8" t="inlineStr">
        <is>
          <t>Knee</t>
        </is>
      </c>
      <c r="N140" s="8" t="inlineStr">
        <is>
          <t>On hands and knees, round your back, then gently arch it.</t>
        </is>
      </c>
      <c r="O140" s="8" t="inlineStr">
        <is>
          <t>Warm-up: mobility, Finisher: mobility</t>
        </is>
      </c>
      <c r="P140" s="8" t="inlineStr">
        <is>
          <t>Lower back: Bend forward (full)
Lower back: Arch your back (full)
Wrist: Weight on your hands (partial)
Knee: Kneel (full)</t>
        </is>
      </c>
      <c r="Q140" s="9" t="n"/>
      <c r="R140" s="9" t="n"/>
    </row>
    <row r="141">
      <c r="A141" s="8" t="n">
        <v>140</v>
      </c>
      <c r="B141" s="8" t="inlineStr">
        <is>
          <t>cw_arm_swing_walk</t>
        </is>
      </c>
      <c r="C141" s="8" t="inlineStr">
        <is>
          <t>Walk with easy arm swings</t>
        </is>
      </c>
      <c r="D141" s="8" t="inlineStr">
        <is>
          <t>Can appear in a first workout</t>
        </is>
      </c>
      <c r="E141" s="8" t="inlineStr">
        <is>
          <t>missing (coming)</t>
        </is>
      </c>
      <c r="F141" s="8" t="inlineStr">
        <is>
          <t>missing (coming)</t>
        </is>
      </c>
      <c r="G141" s="8" t="inlineStr">
        <is>
          <t>Quads (Quadriceps): primary, 0.5
Front shoulders (Deltoid · front head): secondary, 0.2</t>
        </is>
      </c>
      <c r="H141" s="8" t="inlineStr">
        <is>
          <t>Bodyweight</t>
        </is>
      </c>
      <c r="I141" s="8" t="inlineStr">
        <is>
          <t>Home, Gym, Outdoors</t>
        </is>
      </c>
      <c r="J141" s="8" t="n">
        <v>1</v>
      </c>
      <c r="K141" s="8" t="inlineStr">
        <is>
          <t>9+ (kids)</t>
        </is>
      </c>
      <c r="L141" s="8" t="inlineStr">
        <is>
          <t>Standing, With support</t>
        </is>
      </c>
      <c r="M141" s="8" t="inlineStr">
        <is>
          <t>None</t>
        </is>
      </c>
      <c r="N141" s="8" t="inlineStr">
        <is>
          <t>Walk at a relaxed pace and let the arms swing loosely.</t>
        </is>
      </c>
      <c r="O141" s="8" t="inlineStr">
        <is>
          <t>Cool-down: walk</t>
        </is>
      </c>
      <c r="P141" s="8" t="inlineStr">
        <is>
          <t>Knee: Straighten with effort (partial)
Ankle: Knee over toes (partial)
Ankle: Tiptoe (partial)</t>
        </is>
      </c>
      <c r="Q141" s="9" t="n"/>
      <c r="R141" s="9" t="n"/>
    </row>
    <row r="142">
      <c r="A142" s="8" t="n">
        <v>141</v>
      </c>
      <c r="B142" s="8" t="inlineStr">
        <is>
          <t>cw_easy_bike</t>
        </is>
      </c>
      <c r="C142" s="8" t="inlineStr">
        <is>
          <t>Easy bike spin</t>
        </is>
      </c>
      <c r="D142" s="8" t="inlineStr">
        <is>
          <t>Can appear in a first workout</t>
        </is>
      </c>
      <c r="E142" s="8" t="inlineStr">
        <is>
          <t>missing (coming)</t>
        </is>
      </c>
      <c r="F142" s="8" t="inlineStr">
        <is>
          <t>missing (coming)</t>
        </is>
      </c>
      <c r="G142" s="8" t="inlineStr">
        <is>
          <t>Quads (Quadriceps): primary, 0.5
Hamstrings (Hamstrings): secondary, 0.3</t>
        </is>
      </c>
      <c r="H142" s="8" t="inlineStr">
        <is>
          <t>Exercise bike</t>
        </is>
      </c>
      <c r="I142" s="8" t="inlineStr">
        <is>
          <t>Gym</t>
        </is>
      </c>
      <c r="J142" s="8" t="n">
        <v>1</v>
      </c>
      <c r="K142" s="8" t="inlineStr">
        <is>
          <t>13+ (teens)</t>
        </is>
      </c>
      <c r="L142" s="8" t="inlineStr">
        <is>
          <t>Standing, With support, Seated</t>
        </is>
      </c>
      <c r="M142" s="8" t="inlineStr">
        <is>
          <t>None</t>
        </is>
      </c>
      <c r="N142" s="8" t="inlineStr">
        <is>
          <t>Pedal with light resistance at an easy pace to bring your heart rate down.</t>
        </is>
      </c>
      <c r="O142" s="8" t="inlineStr">
        <is>
          <t>Cool-down: walk</t>
        </is>
      </c>
      <c r="P142" s="8" t="inlineStr">
        <is>
          <t>Hip: Knee toward chest (partial)
Knee: Bend the knee deep (partial)</t>
        </is>
      </c>
      <c r="Q142" s="9" t="n"/>
      <c r="R142" s="9" t="n"/>
    </row>
    <row r="143">
      <c r="A143" s="8" t="n">
        <v>142</v>
      </c>
      <c r="B143" s="8" t="inlineStr">
        <is>
          <t>cw_seated_ankle_pumps</t>
        </is>
      </c>
      <c r="C143" s="8" t="inlineStr">
        <is>
          <t>Seated easy ankle pumps</t>
        </is>
      </c>
      <c r="D143" s="8" t="inlineStr">
        <is>
          <t>Can appear in a first workout</t>
        </is>
      </c>
      <c r="E143" s="8" t="inlineStr">
        <is>
          <t>missing (coming)</t>
        </is>
      </c>
      <c r="F143" s="8" t="inlineStr">
        <is>
          <t>missing (coming)</t>
        </is>
      </c>
      <c r="G143" s="8" t="inlineStr">
        <is>
          <t>Calves (Gastrocnemius and soleus): primary, 0.5
Shins (Tibialis anterior): secondary, 0.4</t>
        </is>
      </c>
      <c r="H143" s="8" t="inlineStr">
        <is>
          <t>Bodyweight</t>
        </is>
      </c>
      <c r="I143" s="8" t="inlineStr">
        <is>
          <t>Home, Gym, Outdoors</t>
        </is>
      </c>
      <c r="J143" s="8" t="n">
        <v>1</v>
      </c>
      <c r="K143" s="8" t="inlineStr">
        <is>
          <t>9+ (kids)</t>
        </is>
      </c>
      <c r="L143" s="8" t="inlineStr">
        <is>
          <t>Seated, With support, Standing</t>
        </is>
      </c>
      <c r="M143" s="8" t="inlineStr">
        <is>
          <t>None</t>
        </is>
      </c>
      <c r="N143" s="8" t="inlineStr">
        <is>
          <t>Sitting, slowly point and flex both feet while your breathing settles.</t>
        </is>
      </c>
      <c r="O143" s="8" t="inlineStr">
        <is>
          <t>Cool-down: walk</t>
        </is>
      </c>
      <c r="P143" s="8" t="inlineStr">
        <is>
          <t>Ankle: Knee over toes (partial)
Ankle: Tiptoe (partial)</t>
        </is>
      </c>
      <c r="Q143" s="9" t="n"/>
      <c r="R143" s="9" t="n"/>
    </row>
    <row r="144">
      <c r="A144" s="8" t="n">
        <v>143</v>
      </c>
      <c r="B144" s="8" t="inlineStr">
        <is>
          <t>doorway_chest_stretch</t>
        </is>
      </c>
      <c r="C144" s="8" t="inlineStr">
        <is>
          <t>Doorway chest stretch</t>
        </is>
      </c>
      <c r="D144" s="8" t="inlineStr">
        <is>
          <t>Can appear in a first workout</t>
        </is>
      </c>
      <c r="E144" s="8" t="inlineStr">
        <is>
          <t>missing (coming)</t>
        </is>
      </c>
      <c r="F144" s="8" t="inlineStr">
        <is>
          <t>missing (coming)</t>
        </is>
      </c>
      <c r="G144" s="8" t="inlineStr">
        <is>
          <t>Mid chest (Pectoralis major · sternal head): primary, 0.8
Upper chest (Pectoralis major · clavicular head): secondary, 0.6
Lower chest (Pectoralis major · lower fibers): secondary, 0.5
Front shoulders (Deltoid · front head): secondary, 0.4</t>
        </is>
      </c>
      <c r="H144" s="8" t="inlineStr">
        <is>
          <t>Bodyweight</t>
        </is>
      </c>
      <c r="I144" s="8" t="inlineStr">
        <is>
          <t>Home, Gym, Outdoors</t>
        </is>
      </c>
      <c r="J144" s="8" t="n">
        <v>1</v>
      </c>
      <c r="K144" s="8" t="inlineStr">
        <is>
          <t>9+ (kids)</t>
        </is>
      </c>
      <c r="L144" s="8" t="inlineStr">
        <is>
          <t>Standing, With support</t>
        </is>
      </c>
      <c r="M144" s="8" t="inlineStr">
        <is>
          <t>Shoulder</t>
        </is>
      </c>
      <c r="N144" s="8" t="inlineStr">
        <is>
          <t>Forearm on a door frame; lean forward gently.</t>
        </is>
      </c>
      <c r="O144" s="8" t="inlineStr">
        <is>
          <t>Cool-down: stretch, Finisher: mobility</t>
        </is>
      </c>
      <c r="P144" s="8" t="inlineStr">
        <is>
          <t>Shoulder: Turn arm outward (full)
Shoulder: Raise arm to the side (full)</t>
        </is>
      </c>
      <c r="Q144" s="9" t="n"/>
      <c r="R144" s="9" t="n"/>
    </row>
    <row r="145">
      <c r="A145" s="8" t="n">
        <v>144</v>
      </c>
      <c r="B145" s="8" t="inlineStr">
        <is>
          <t>dumbbell_dead_bug</t>
        </is>
      </c>
      <c r="C145" s="8" t="inlineStr">
        <is>
          <t>Dumbbell dead bug</t>
        </is>
      </c>
      <c r="D145" s="8" t="inlineStr">
        <is>
          <t>Can appear in a first workout</t>
        </is>
      </c>
      <c r="E145" s="8" t="inlineStr">
        <is>
          <t>missing (coming)</t>
        </is>
      </c>
      <c r="F145" s="8" t="inlineStr">
        <is>
          <t>missing (coming)</t>
        </is>
      </c>
      <c r="G145" s="8" t="inlineStr">
        <is>
          <t>Lower abs (Rectus abdominis · lower): primary, 0.7
Upper abs (Rectus abdominis · upper): primary, 0.5
Front shoulders (Deltoid · front head): stabilizer, 0.2</t>
        </is>
      </c>
      <c r="H145" s="8" t="inlineStr">
        <is>
          <t>Dumbbells</t>
        </is>
      </c>
      <c r="I145" s="8" t="inlineStr">
        <is>
          <t>Home, Gym</t>
        </is>
      </c>
      <c r="J145" s="8" t="n">
        <v>2</v>
      </c>
      <c r="K145" s="8" t="inlineStr">
        <is>
          <t>13+ (teens)</t>
        </is>
      </c>
      <c r="L145" s="8" t="inlineStr">
        <is>
          <t>Standing</t>
        </is>
      </c>
      <c r="M145" s="8" t="inlineStr">
        <is>
          <t>Pregnant / postpartum, Recent surgery</t>
        </is>
      </c>
      <c r="N145" s="8" t="inlineStr">
        <is>
          <t>On your back, hold a light dumbbell above your chest; lower one leg at a time, back flat.</t>
        </is>
      </c>
      <c r="O145" s="8" t="inlineStr">
        <is>
          <t>Main work</t>
        </is>
      </c>
      <c r="P145" s="8" t="inlineStr">
        <is>
          <t>Hip: Knee toward chest (full)
Shoulder: Raise arm in front (hold, no movement)
Wrist: Grip tight (hold, no movement)
Knee: Bend the knee deep (partial)</t>
        </is>
      </c>
      <c r="Q145" s="9" t="n"/>
      <c r="R145" s="9" t="n"/>
    </row>
    <row r="146">
      <c r="A146" s="8" t="n">
        <v>145</v>
      </c>
      <c r="B146" s="8" t="inlineStr">
        <is>
          <t>dumbbell_floor_fly</t>
        </is>
      </c>
      <c r="C146" s="8" t="inlineStr">
        <is>
          <t>Dumbbell floor fly</t>
        </is>
      </c>
      <c r="D146" s="8" t="inlineStr">
        <is>
          <t>Can appear in a first workout</t>
        </is>
      </c>
      <c r="E146" s="8" t="inlineStr">
        <is>
          <t>missing (coming)</t>
        </is>
      </c>
      <c r="F146" s="8" t="inlineStr">
        <is>
          <t>missing (coming)</t>
        </is>
      </c>
      <c r="G146" s="8" t="inlineStr">
        <is>
          <t>Mid chest (Pectoralis major · sternal head): primary, 1.0
Front shoulders (Deltoid · front head): secondary, 0.3</t>
        </is>
      </c>
      <c r="H146" s="8" t="inlineStr">
        <is>
          <t>Dumbbells</t>
        </is>
      </c>
      <c r="I146" s="8" t="inlineStr">
        <is>
          <t>Home, Gym</t>
        </is>
      </c>
      <c r="J146" s="8" t="n">
        <v>2</v>
      </c>
      <c r="K146" s="8" t="inlineStr">
        <is>
          <t>13+ (teens)</t>
        </is>
      </c>
      <c r="L146" s="8" t="inlineStr">
        <is>
          <t>Standing</t>
        </is>
      </c>
      <c r="M146" s="8" t="inlineStr">
        <is>
          <t>Shoulder, Recent surgery</t>
        </is>
      </c>
      <c r="N146" s="8" t="inlineStr">
        <is>
          <t>Lie on the floor, elbows softly bent, lower the dumbbells until your upper arms touch down, then hug up.</t>
        </is>
      </c>
      <c r="O146" s="8" t="inlineStr">
        <is>
          <t>Main work</t>
        </is>
      </c>
      <c r="P146" s="8" t="inlineStr">
        <is>
          <t>Shoulder: Push (partial)
Wrist: Grip tight (partial)</t>
        </is>
      </c>
      <c r="Q146" s="9" t="n"/>
      <c r="R146" s="9" t="n"/>
    </row>
    <row r="147">
      <c r="A147" s="8" t="n">
        <v>146</v>
      </c>
      <c r="B147" s="8" t="inlineStr">
        <is>
          <t>dumbbell_romanian_deadlift</t>
        </is>
      </c>
      <c r="C147" s="8" t="inlineStr">
        <is>
          <t>Dumbbell Romanian deadlift</t>
        </is>
      </c>
      <c r="D147" s="8" t="inlineStr">
        <is>
          <t>Can appear in a first workout</t>
        </is>
      </c>
      <c r="E147" s="8" t="inlineStr">
        <is>
          <t>missing (coming)</t>
        </is>
      </c>
      <c r="F147" s="8" t="inlineStr">
        <is>
          <t>missing (coming)</t>
        </is>
      </c>
      <c r="G147" s="8" t="inlineStr">
        <is>
          <t>Hamstrings (Hamstrings): primary, 1.0
Glutes (Gluteus maximus and medius): primary, 0.8
Lower back (Erector spinae): secondary, 0.5</t>
        </is>
      </c>
      <c r="H147" s="8" t="inlineStr">
        <is>
          <t>Dumbbells</t>
        </is>
      </c>
      <c r="I147" s="8" t="inlineStr">
        <is>
          <t>Home, Gym</t>
        </is>
      </c>
      <c r="J147" s="8" t="n">
        <v>3</v>
      </c>
      <c r="K147" s="8" t="inlineStr">
        <is>
          <t>13+ (teens)</t>
        </is>
      </c>
      <c r="L147" s="8" t="inlineStr">
        <is>
          <t>Standing</t>
        </is>
      </c>
      <c r="M147" s="8" t="inlineStr">
        <is>
          <t>Lower back, Recent surgery</t>
        </is>
      </c>
      <c r="N147" s="8" t="inlineStr">
        <is>
          <t>Soft knees; hinge at the hips, dumbbells close to your legs.</t>
        </is>
      </c>
      <c r="O147" s="8" t="inlineStr">
        <is>
          <t>Main work</t>
        </is>
      </c>
      <c r="P147" s="8" t="inlineStr">
        <is>
          <t>Hip: Knee toward chest (full)
Lower back: Lift from the floor (full)
Wrist: Grip tight (hold, no movement)
Knee: Straighten with effort (hold, no movement)</t>
        </is>
      </c>
      <c r="Q147" s="9" t="n"/>
      <c r="R147" s="9" t="n"/>
    </row>
    <row r="148">
      <c r="A148" s="8" t="n">
        <v>147</v>
      </c>
      <c r="B148" s="8" t="inlineStr">
        <is>
          <t>dumbbell_seated_calf_raise</t>
        </is>
      </c>
      <c r="C148" s="8" t="inlineStr">
        <is>
          <t>Dumbbell seated calf raise</t>
        </is>
      </c>
      <c r="D148" s="8" t="inlineStr">
        <is>
          <t>Can appear in a first workout</t>
        </is>
      </c>
      <c r="E148" s="8" t="inlineStr">
        <is>
          <t>missing (coming)</t>
        </is>
      </c>
      <c r="F148" s="8" t="inlineStr">
        <is>
          <t>missing (coming)</t>
        </is>
      </c>
      <c r="G148" s="8" t="inlineStr">
        <is>
          <t>Calves (Gastrocnemius and soleus): primary, 0.8</t>
        </is>
      </c>
      <c r="H148" s="8" t="inlineStr">
        <is>
          <t>Dumbbells</t>
        </is>
      </c>
      <c r="I148" s="8" t="inlineStr">
        <is>
          <t>Home, Gym</t>
        </is>
      </c>
      <c r="J148" s="8" t="n">
        <v>1</v>
      </c>
      <c r="K148" s="8" t="inlineStr">
        <is>
          <t>13+ (teens)</t>
        </is>
      </c>
      <c r="L148" s="8" t="inlineStr">
        <is>
          <t>Standing, With support, Seated</t>
        </is>
      </c>
      <c r="M148" s="8" t="inlineStr">
        <is>
          <t>Recent surgery</t>
        </is>
      </c>
      <c r="N148" s="8" t="inlineStr">
        <is>
          <t>Sit tall, dumbbells resting on your thighs near the knees; lift your heels high, lower slowly.</t>
        </is>
      </c>
      <c r="O148" s="8" t="inlineStr">
        <is>
          <t>Main work</t>
        </is>
      </c>
      <c r="P148" s="8" t="inlineStr">
        <is>
          <t>Ankle: Tiptoe (full)
Knee: Bend the knee deep (hold, no movement)</t>
        </is>
      </c>
      <c r="Q148" s="9" t="n"/>
      <c r="R148" s="9" t="n"/>
    </row>
    <row r="149">
      <c r="A149" s="8" t="n">
        <v>148</v>
      </c>
      <c r="B149" s="8" t="inlineStr">
        <is>
          <t>dumbbell_shoulder_press</t>
        </is>
      </c>
      <c r="C149" s="8" t="inlineStr">
        <is>
          <t>Dumbbell shoulder press</t>
        </is>
      </c>
      <c r="D149" s="8" t="inlineStr">
        <is>
          <t>Can appear in a first workout</t>
        </is>
      </c>
      <c r="E149" s="8" t="inlineStr">
        <is>
          <t>missing (coming)</t>
        </is>
      </c>
      <c r="F149" s="8" t="inlineStr">
        <is>
          <t>missing (coming)</t>
        </is>
      </c>
      <c r="G149" s="8" t="inlineStr">
        <is>
          <t>Front shoulders (Deltoid · front head): primary, 1.0
Triceps (Triceps brachii): secondary, 0.5
Traps (Trapezius): secondary, 0.3</t>
        </is>
      </c>
      <c r="H149" s="8" t="inlineStr">
        <is>
          <t>Dumbbells</t>
        </is>
      </c>
      <c r="I149" s="8" t="inlineStr">
        <is>
          <t>Home, Gym</t>
        </is>
      </c>
      <c r="J149" s="8" t="n">
        <v>2</v>
      </c>
      <c r="K149" s="8" t="inlineStr">
        <is>
          <t>13+ (teens)</t>
        </is>
      </c>
      <c r="L149" s="8" t="inlineStr">
        <is>
          <t>Standing, Seated</t>
        </is>
      </c>
      <c r="M149" s="8" t="inlineStr">
        <is>
          <t>Shoulder, Neck</t>
        </is>
      </c>
      <c r="N149" s="8" t="inlineStr">
        <is>
          <t>Press the dumbbells overhead without arching your back.</t>
        </is>
      </c>
      <c r="O149" s="8" t="inlineStr">
        <is>
          <t>Main work</t>
        </is>
      </c>
      <c r="P149" s="8" t="inlineStr">
        <is>
          <t>Shoulder: Arm overhead (full)
Shoulder: Raise arm to the side (full)
Shoulder: Push (full)
Elbow: Straighten elbow with weight (full)
Wrist: Grip tight (partial)</t>
        </is>
      </c>
      <c r="Q149" s="9" t="n"/>
      <c r="R149" s="9" t="n"/>
    </row>
    <row r="150">
      <c r="A150" s="8" t="n">
        <v>149</v>
      </c>
      <c r="B150" s="8" t="inlineStr">
        <is>
          <t>dumbbell_split_squat</t>
        </is>
      </c>
      <c r="C150" s="8" t="inlineStr">
        <is>
          <t>Dumbbell split squat</t>
        </is>
      </c>
      <c r="D150" s="8" t="inlineStr">
        <is>
          <t>Can appear in a first workout</t>
        </is>
      </c>
      <c r="E150" s="8" t="inlineStr">
        <is>
          <t>missing (coming)</t>
        </is>
      </c>
      <c r="F150" s="8" t="inlineStr">
        <is>
          <t>missing (coming)</t>
        </is>
      </c>
      <c r="G150" s="8" t="inlineStr">
        <is>
          <t>Quads (Quadriceps): primary, 0.8
Glutes (Gluteus maximus and medius): primary, 0.6
Inner thighs (Hip adductors): secondary, 0.3</t>
        </is>
      </c>
      <c r="H150" s="8" t="inlineStr">
        <is>
          <t>Dumbbells</t>
        </is>
      </c>
      <c r="I150" s="8" t="inlineStr">
        <is>
          <t>Home, Gym</t>
        </is>
      </c>
      <c r="J150" s="8" t="n">
        <v>2</v>
      </c>
      <c r="K150" s="8" t="inlineStr">
        <is>
          <t>13+ (teens)</t>
        </is>
      </c>
      <c r="L150" s="8" t="inlineStr">
        <is>
          <t>Standing</t>
        </is>
      </c>
      <c r="M150" s="8" t="inlineStr">
        <is>
          <t>Knee, Hip, Recent surgery</t>
        </is>
      </c>
      <c r="N150" s="8" t="inlineStr">
        <is>
          <t>Dumbbells at your sides, one foot forward; lower straight down with a tall chest, then rise.</t>
        </is>
      </c>
      <c r="O150" s="8" t="inlineStr">
        <is>
          <t>Main work</t>
        </is>
      </c>
      <c r="P150" s="8" t="inlineStr">
        <is>
          <t>Knee: Bend the knee deep (full)
Hip: Leg behind you (partial)
Ankle: Knee over toes (partial)
Wrist: Grip tight (hold, no movement)</t>
        </is>
      </c>
      <c r="Q150" s="9" t="n"/>
      <c r="R150" s="9" t="n"/>
    </row>
    <row r="151">
      <c r="A151" s="8" t="n">
        <v>150</v>
      </c>
      <c r="B151" s="8" t="inlineStr">
        <is>
          <t>dumbbell_suitcase_carry</t>
        </is>
      </c>
      <c r="C151" s="8" t="inlineStr">
        <is>
          <t>Suitcase carry</t>
        </is>
      </c>
      <c r="D151" s="8" t="inlineStr">
        <is>
          <t>Can appear in a first workout</t>
        </is>
      </c>
      <c r="E151" s="8" t="inlineStr">
        <is>
          <t>missing (coming)</t>
        </is>
      </c>
      <c r="F151" s="8" t="inlineStr">
        <is>
          <t>missing (coming)</t>
        </is>
      </c>
      <c r="G151" s="8" t="inlineStr">
        <is>
          <t>Obliques (External and internal obliques): primary, 0.7
Lower back (Erector spinae): primary, 0.5
Forearms (Wrist flexors and extensors): secondary, 0.4</t>
        </is>
      </c>
      <c r="H151" s="8" t="inlineStr">
        <is>
          <t>Dumbbells</t>
        </is>
      </c>
      <c r="I151" s="8" t="inlineStr">
        <is>
          <t>Home, Gym</t>
        </is>
      </c>
      <c r="J151" s="8" t="n">
        <v>2</v>
      </c>
      <c r="K151" s="8" t="inlineStr">
        <is>
          <t>13+ (teens)</t>
        </is>
      </c>
      <c r="L151" s="8" t="inlineStr">
        <is>
          <t>Standing</t>
        </is>
      </c>
      <c r="M151" s="8" t="inlineStr">
        <is>
          <t>Lower back, Recent surgery, High blood pressure</t>
        </is>
      </c>
      <c r="N151" s="8" t="inlineStr">
        <is>
          <t>Hold one dumbbell at your side and walk slowly, standing tall without leaning; switch hands.</t>
        </is>
      </c>
      <c r="O151" s="8" t="inlineStr">
        <is>
          <t>Main work</t>
        </is>
      </c>
      <c r="P151" s="8" t="inlineStr">
        <is>
          <t>Shoulder: Carry weight (hold, no movement)
Wrist: Grip tight (hold, no movement)
Lower back: Lean to the side (hold, no movement)
Knee: Straighten with effort (hold, no movement)</t>
        </is>
      </c>
      <c r="Q151" s="9" t="n"/>
      <c r="R151" s="9" t="n"/>
    </row>
    <row r="152">
      <c r="A152" s="8" t="n">
        <v>151</v>
      </c>
      <c r="B152" s="8" t="inlineStr">
        <is>
          <t>dumbbell_sumo_squat</t>
        </is>
      </c>
      <c r="C152" s="8" t="inlineStr">
        <is>
          <t>Dumbbell sumo squat</t>
        </is>
      </c>
      <c r="D152" s="8" t="inlineStr">
        <is>
          <t>Can appear in a first workout</t>
        </is>
      </c>
      <c r="E152" s="8" t="inlineStr">
        <is>
          <t>missing (coming)</t>
        </is>
      </c>
      <c r="F152" s="8" t="inlineStr">
        <is>
          <t>missing (coming)</t>
        </is>
      </c>
      <c r="G152" s="8" t="inlineStr">
        <is>
          <t>Quads (Quadriceps): primary, 0.6
Inner thighs (Hip adductors): primary, 0.6
Glutes (Gluteus maximus and medius): secondary, 0.5</t>
        </is>
      </c>
      <c r="H152" s="8" t="inlineStr">
        <is>
          <t>Dumbbells</t>
        </is>
      </c>
      <c r="I152" s="8" t="inlineStr">
        <is>
          <t>Home, Gym</t>
        </is>
      </c>
      <c r="J152" s="8" t="n">
        <v>2</v>
      </c>
      <c r="K152" s="8" t="inlineStr">
        <is>
          <t>13+ (teens)</t>
        </is>
      </c>
      <c r="L152" s="8" t="inlineStr">
        <is>
          <t>Standing</t>
        </is>
      </c>
      <c r="M152" s="8" t="inlineStr">
        <is>
          <t>Knee, Hip, Recent surgery</t>
        </is>
      </c>
      <c r="N152" s="8" t="inlineStr">
        <is>
          <t>Wide stance, one dumbbell hanging between your legs; sit down with knees out, then stand.</t>
        </is>
      </c>
      <c r="O152" s="8" t="inlineStr">
        <is>
          <t>Main work</t>
        </is>
      </c>
      <c r="P152" s="8" t="inlineStr">
        <is>
          <t>Knee: Bend the knee deep (full)
Hip: Deep squat (full)
Hip: Leg out to the side (partial)
Wrist: Grip tight (hold, no movement)</t>
        </is>
      </c>
      <c r="Q152" s="9" t="n"/>
      <c r="R152" s="9" t="n"/>
    </row>
    <row r="153">
      <c r="A153" s="8" t="n">
        <v>152</v>
      </c>
      <c r="B153" s="8" t="inlineStr">
        <is>
          <t>fc_bike_intervals</t>
        </is>
      </c>
      <c r="C153" s="8" t="inlineStr">
        <is>
          <t>Bike intervals</t>
        </is>
      </c>
      <c r="D153" s="8" t="inlineStr">
        <is>
          <t>Can appear in a first workout</t>
        </is>
      </c>
      <c r="E153" s="8" t="inlineStr">
        <is>
          <t>missing (coming)</t>
        </is>
      </c>
      <c r="F153" s="8" t="inlineStr">
        <is>
          <t>missing (coming)</t>
        </is>
      </c>
      <c r="G153" s="8" t="inlineStr">
        <is>
          <t>Quads (Quadriceps): primary, 0.6
Glutes (Gluteus maximus and medius): secondary, 0.4
Calves (Gastrocnemius and soleus): secondary, 0.3</t>
        </is>
      </c>
      <c r="H153" s="8" t="inlineStr">
        <is>
          <t>Exercise bike</t>
        </is>
      </c>
      <c r="I153" s="8" t="inlineStr">
        <is>
          <t>Gym</t>
        </is>
      </c>
      <c r="J153" s="8" t="n">
        <v>1</v>
      </c>
      <c r="K153" s="8" t="inlineStr">
        <is>
          <t>13+ (teens)</t>
        </is>
      </c>
      <c r="L153" s="8" t="inlineStr">
        <is>
          <t>Standing, With support, Seated</t>
        </is>
      </c>
      <c r="M153" s="8" t="inlineStr">
        <is>
          <t>None</t>
        </is>
      </c>
      <c r="N153" s="8" t="inlineStr">
        <is>
          <t>Pedal 30 s a little harder, then 30 s easy, staying tall on the seat.</t>
        </is>
      </c>
      <c r="O153" s="8" t="inlineStr">
        <is>
          <t>Finisher: cardio</t>
        </is>
      </c>
      <c r="P153" s="8" t="inlineStr">
        <is>
          <t>Hip: Knee toward chest (partial)
Knee: Bend the knee deep (partial)</t>
        </is>
      </c>
      <c r="Q153" s="9" t="n"/>
      <c r="R153" s="9" t="n"/>
    </row>
    <row r="154">
      <c r="A154" s="8" t="n">
        <v>153</v>
      </c>
      <c r="B154" s="8" t="inlineStr">
        <is>
          <t>fc_fast_march</t>
        </is>
      </c>
      <c r="C154" s="8" t="inlineStr">
        <is>
          <t>Fast march</t>
        </is>
      </c>
      <c r="D154" s="8" t="inlineStr">
        <is>
          <t>Can appear in a first workout</t>
        </is>
      </c>
      <c r="E154" s="8" t="inlineStr">
        <is>
          <t>missing (coming)</t>
        </is>
      </c>
      <c r="F154" s="8" t="inlineStr">
        <is>
          <t>missing (coming)</t>
        </is>
      </c>
      <c r="G154" s="8" t="inlineStr">
        <is>
          <t>Quads (Quadriceps): primary, 0.6
Hips (Hip flexors): secondary, 0.4
Calves (Gastrocnemius and soleus): secondary, 0.3</t>
        </is>
      </c>
      <c r="H154" s="8" t="inlineStr">
        <is>
          <t>Bodyweight</t>
        </is>
      </c>
      <c r="I154" s="8" t="inlineStr">
        <is>
          <t>Home, Gym, Outdoors</t>
        </is>
      </c>
      <c r="J154" s="8" t="n">
        <v>1</v>
      </c>
      <c r="K154" s="8" t="inlineStr">
        <is>
          <t>9+ (kids)</t>
        </is>
      </c>
      <c r="L154" s="8" t="inlineStr">
        <is>
          <t>Standing, With support</t>
        </is>
      </c>
      <c r="M154" s="8" t="inlineStr">
        <is>
          <t>None</t>
        </is>
      </c>
      <c r="N154" s="8" t="inlineStr">
        <is>
          <t>March quickly in place, pumping the arms, keeping one foot on the floor.</t>
        </is>
      </c>
      <c r="O154" s="8" t="inlineStr">
        <is>
          <t>Finisher: cardio, Warm-up: easy cardio</t>
        </is>
      </c>
      <c r="P154" s="8" t="inlineStr">
        <is>
          <t>Hip: Knee toward chest (partial)
Knee: Stairs (partial)</t>
        </is>
      </c>
      <c r="Q154" s="9" t="n"/>
      <c r="R154" s="9" t="n"/>
    </row>
    <row r="155">
      <c r="A155" s="8" t="n">
        <v>154</v>
      </c>
      <c r="B155" s="8" t="inlineStr">
        <is>
          <t>fc_low_impact_jacks</t>
        </is>
      </c>
      <c r="C155" s="8" t="inlineStr">
        <is>
          <t>Low-impact jacks</t>
        </is>
      </c>
      <c r="D155" s="8" t="inlineStr">
        <is>
          <t>Can appear in a first workout</t>
        </is>
      </c>
      <c r="E155" s="8" t="inlineStr">
        <is>
          <t>missing (coming)</t>
        </is>
      </c>
      <c r="F155" s="8" t="inlineStr">
        <is>
          <t>missing (coming)</t>
        </is>
      </c>
      <c r="G155" s="8" t="inlineStr">
        <is>
          <t>Hips (Hip flexors): primary, 0.5
Front shoulders (Deltoid · front head): secondary, 0.4
Calves (Gastrocnemius and soleus): secondary, 0.3</t>
        </is>
      </c>
      <c r="H155" s="8" t="inlineStr">
        <is>
          <t>Bodyweight</t>
        </is>
      </c>
      <c r="I155" s="8" t="inlineStr">
        <is>
          <t>Home, Gym, Outdoors</t>
        </is>
      </c>
      <c r="J155" s="8" t="n">
        <v>1</v>
      </c>
      <c r="K155" s="8" t="inlineStr">
        <is>
          <t>9+ (kids)</t>
        </is>
      </c>
      <c r="L155" s="8" t="inlineStr">
        <is>
          <t>Standing, With support</t>
        </is>
      </c>
      <c r="M155" s="8" t="inlineStr">
        <is>
          <t>Shoulder</t>
        </is>
      </c>
      <c r="N155" s="8" t="inlineStr">
        <is>
          <t>Step one foot out while raising the arms, then step back in, alternating sides quickly.</t>
        </is>
      </c>
      <c r="O155" s="8" t="inlineStr">
        <is>
          <t>Finisher: cardio, Warm-up: easy cardio</t>
        </is>
      </c>
      <c r="P155" s="8" t="inlineStr">
        <is>
          <t>Hip: Leg out to the side (partial)
Shoulder: Raise arm to the side (full)
Shoulder: Arm overhead (partial)
Knee: Stairs (partial)</t>
        </is>
      </c>
      <c r="Q155" s="9" t="n"/>
      <c r="R155" s="9" t="n"/>
    </row>
    <row r="156">
      <c r="A156" s="8" t="n">
        <v>155</v>
      </c>
      <c r="B156" s="8" t="inlineStr">
        <is>
          <t>fc_seated_fast_march</t>
        </is>
      </c>
      <c r="C156" s="8" t="inlineStr">
        <is>
          <t>Seated fast march</t>
        </is>
      </c>
      <c r="D156" s="8" t="inlineStr">
        <is>
          <t>Can appear in a first workout</t>
        </is>
      </c>
      <c r="E156" s="8" t="inlineStr">
        <is>
          <t>missing (coming)</t>
        </is>
      </c>
      <c r="F156" s="8" t="inlineStr">
        <is>
          <t>missing (coming)</t>
        </is>
      </c>
      <c r="G156" s="8" t="inlineStr">
        <is>
          <t>Hips (Hip flexors): primary, 0.6
Quads (Quadriceps): secondary, 0.3</t>
        </is>
      </c>
      <c r="H156" s="8" t="inlineStr">
        <is>
          <t>Bodyweight</t>
        </is>
      </c>
      <c r="I156" s="8" t="inlineStr">
        <is>
          <t>Home, Gym, Outdoors</t>
        </is>
      </c>
      <c r="J156" s="8" t="n">
        <v>1</v>
      </c>
      <c r="K156" s="8" t="inlineStr">
        <is>
          <t>9+ (kids)</t>
        </is>
      </c>
      <c r="L156" s="8" t="inlineStr">
        <is>
          <t>Seated, With support, Standing</t>
        </is>
      </c>
      <c r="M156" s="8" t="inlineStr">
        <is>
          <t>None</t>
        </is>
      </c>
      <c r="N156" s="8" t="inlineStr">
        <is>
          <t>Sitting tall, march your feet quickly and pump the arms.</t>
        </is>
      </c>
      <c r="O156" s="8" t="inlineStr">
        <is>
          <t>Finisher: cardio, Warm-up: easy cardio</t>
        </is>
      </c>
      <c r="P156" s="8" t="inlineStr">
        <is>
          <t>Hip: Knee toward chest (partial)
Knee: Bend the knee deep (hold, no movement)</t>
        </is>
      </c>
      <c r="Q156" s="9" t="n"/>
      <c r="R156" s="9" t="n"/>
    </row>
    <row r="157">
      <c r="A157" s="8" t="n">
        <v>156</v>
      </c>
      <c r="B157" s="8" t="inlineStr">
        <is>
          <t>fc_seated_jacks</t>
        </is>
      </c>
      <c r="C157" s="8" t="inlineStr">
        <is>
          <t>Seated jacks</t>
        </is>
      </c>
      <c r="D157" s="8" t="inlineStr">
        <is>
          <t>Can appear in a first workout</t>
        </is>
      </c>
      <c r="E157" s="8" t="inlineStr">
        <is>
          <t>missing (coming)</t>
        </is>
      </c>
      <c r="F157" s="8" t="inlineStr">
        <is>
          <t>missing (coming)</t>
        </is>
      </c>
      <c r="G157" s="8" t="inlineStr">
        <is>
          <t>Front shoulders (Deltoid · front head): primary, 0.5
Hips (Hip flexors): secondary, 0.4
Inner thighs (Hip adductors): secondary, 0.2</t>
        </is>
      </c>
      <c r="H157" s="8" t="inlineStr">
        <is>
          <t>Bodyweight</t>
        </is>
      </c>
      <c r="I157" s="8" t="inlineStr">
        <is>
          <t>Home, Gym, Outdoors</t>
        </is>
      </c>
      <c r="J157" s="8" t="n">
        <v>1</v>
      </c>
      <c r="K157" s="8" t="inlineStr">
        <is>
          <t>9+ (kids)</t>
        </is>
      </c>
      <c r="L157" s="8" t="inlineStr">
        <is>
          <t>Seated, With support</t>
        </is>
      </c>
      <c r="M157" s="8" t="inlineStr">
        <is>
          <t>Shoulder</t>
        </is>
      </c>
      <c r="N157" s="8" t="inlineStr">
        <is>
          <t>Sitting, tap the feet out to the sides while raising the arms, then back in.</t>
        </is>
      </c>
      <c r="O157" s="8" t="inlineStr">
        <is>
          <t>Finisher: cardio, Warm-up: easy cardio</t>
        </is>
      </c>
      <c r="P157" s="8" t="inlineStr">
        <is>
          <t>Shoulder: Raise arm to the side (full)
Hip: Leg out to the side (partial)
Knee: Bend the knee deep (partial)</t>
        </is>
      </c>
      <c r="Q157" s="9" t="n"/>
      <c r="R157" s="9" t="n"/>
    </row>
    <row r="158">
      <c r="A158" s="8" t="n">
        <v>157</v>
      </c>
      <c r="B158" s="8" t="inlineStr">
        <is>
          <t>goblet_squat</t>
        </is>
      </c>
      <c r="C158" s="8" t="inlineStr">
        <is>
          <t>Goblet squat</t>
        </is>
      </c>
      <c r="D158" s="8" t="inlineStr">
        <is>
          <t>Can appear in a first workout</t>
        </is>
      </c>
      <c r="E158" s="8" t="inlineStr">
        <is>
          <t>missing (coming)</t>
        </is>
      </c>
      <c r="F158" s="8" t="inlineStr">
        <is>
          <t>missing (coming)</t>
        </is>
      </c>
      <c r="G158" s="8" t="inlineStr">
        <is>
          <t>Quads (Quadriceps): primary, 1.0
Glutes (Gluteus maximus and medius): secondary, 0.7
Upper abs (Rectus abdominis · upper): stabilizer, 0.3</t>
        </is>
      </c>
      <c r="H158" s="8" t="inlineStr">
        <is>
          <t>Dumbbells</t>
        </is>
      </c>
      <c r="I158" s="8" t="inlineStr">
        <is>
          <t>Home, Gym</t>
        </is>
      </c>
      <c r="J158" s="8" t="n">
        <v>2</v>
      </c>
      <c r="K158" s="8" t="inlineStr">
        <is>
          <t>13+ (teens)</t>
        </is>
      </c>
      <c r="L158" s="8" t="inlineStr">
        <is>
          <t>Standing</t>
        </is>
      </c>
      <c r="M158" s="8" t="inlineStr">
        <is>
          <t>Knee, Lower back</t>
        </is>
      </c>
      <c r="N158" s="8" t="inlineStr">
        <is>
          <t>Hold a dumbbell at your chest; squat down and stand tall.</t>
        </is>
      </c>
      <c r="O158" s="8" t="inlineStr">
        <is>
          <t>Main work</t>
        </is>
      </c>
      <c r="P158" s="8" t="inlineStr">
        <is>
          <t>Knee: Bend the knee deep (full)
Hip: Deep squat (full)
Ankle: Knee over toes (full)
Wrist: Grip tight (hold, no movement)</t>
        </is>
      </c>
      <c r="Q158" s="9" t="n"/>
      <c r="R158" s="9" t="n"/>
    </row>
    <row r="159">
      <c r="A159" s="8" t="n">
        <v>158</v>
      </c>
      <c r="B159" s="8" t="inlineStr">
        <is>
          <t>hip_abduction_machine</t>
        </is>
      </c>
      <c r="C159" s="8" t="inlineStr">
        <is>
          <t>Hip abduction machine</t>
        </is>
      </c>
      <c r="D159" s="8" t="inlineStr">
        <is>
          <t>Can appear in a first workout</t>
        </is>
      </c>
      <c r="E159" s="8" t="inlineStr">
        <is>
          <t>missing (coming)</t>
        </is>
      </c>
      <c r="F159" s="8" t="inlineStr">
        <is>
          <t>missing (coming)</t>
        </is>
      </c>
      <c r="G159" s="8" t="inlineStr">
        <is>
          <t>Hips (Hip flexors): primary, 0.7
Glutes (Gluteus maximus and medius): primary, 0.7</t>
        </is>
      </c>
      <c r="H159" s="8" t="inlineStr">
        <is>
          <t>Hip abductor / adductor</t>
        </is>
      </c>
      <c r="I159" s="8" t="inlineStr">
        <is>
          <t>Gym</t>
        </is>
      </c>
      <c r="J159" s="8" t="n">
        <v>1</v>
      </c>
      <c r="K159" s="8" t="inlineStr">
        <is>
          <t>13+ (teens)</t>
        </is>
      </c>
      <c r="L159" s="8" t="inlineStr">
        <is>
          <t>Standing, With support, Seated</t>
        </is>
      </c>
      <c r="M159" s="8" t="inlineStr">
        <is>
          <t>Recent surgery</t>
        </is>
      </c>
      <c r="N159" s="8" t="inlineStr">
        <is>
          <t>Sit tall, pads outside your knees; press your legs apart, pause, then close slowly.</t>
        </is>
      </c>
      <c r="O159" s="8" t="inlineStr">
        <is>
          <t>Main work</t>
        </is>
      </c>
      <c r="P159" s="8" t="inlineStr">
        <is>
          <t>Hip: Leg out to the side (full)
Knee: Straighten with effort (hold, no movement)</t>
        </is>
      </c>
      <c r="Q159" s="9" t="n"/>
      <c r="R159" s="9" t="n"/>
    </row>
    <row r="160">
      <c r="A160" s="8" t="n">
        <v>159</v>
      </c>
      <c r="B160" s="8" t="inlineStr">
        <is>
          <t>hip_adduction_machine</t>
        </is>
      </c>
      <c r="C160" s="8" t="inlineStr">
        <is>
          <t>Hip adduction machine</t>
        </is>
      </c>
      <c r="D160" s="8" t="inlineStr">
        <is>
          <t>Can appear in a first workout</t>
        </is>
      </c>
      <c r="E160" s="8" t="inlineStr">
        <is>
          <t>missing (coming)</t>
        </is>
      </c>
      <c r="F160" s="8" t="inlineStr">
        <is>
          <t>missing (coming)</t>
        </is>
      </c>
      <c r="G160" s="8" t="inlineStr">
        <is>
          <t>Inner thighs (Hip adductors): primary, 0.9</t>
        </is>
      </c>
      <c r="H160" s="8" t="inlineStr">
        <is>
          <t>Hip abductor / adductor</t>
        </is>
      </c>
      <c r="I160" s="8" t="inlineStr">
        <is>
          <t>Gym</t>
        </is>
      </c>
      <c r="J160" s="8" t="n">
        <v>1</v>
      </c>
      <c r="K160" s="8" t="inlineStr">
        <is>
          <t>13+ (teens)</t>
        </is>
      </c>
      <c r="L160" s="8" t="inlineStr">
        <is>
          <t>Standing, With support, Seated</t>
        </is>
      </c>
      <c r="M160" s="8" t="inlineStr">
        <is>
          <t>Hip, Recent surgery</t>
        </is>
      </c>
      <c r="N160" s="8" t="inlineStr">
        <is>
          <t>Sit tall, pads inside your knees; squeeze your legs together, then open slowly to a comfy width.</t>
        </is>
      </c>
      <c r="O160" s="8" t="inlineStr">
        <is>
          <t>Main work</t>
        </is>
      </c>
      <c r="P160" s="8" t="inlineStr">
        <is>
          <t>Hip: Leg across (full)</t>
        </is>
      </c>
      <c r="Q160" s="9" t="n"/>
      <c r="R160" s="9" t="n"/>
    </row>
    <row r="161">
      <c r="A161" s="8" t="n">
        <v>160</v>
      </c>
      <c r="B161" s="8" t="inlineStr">
        <is>
          <t>hip_circles</t>
        </is>
      </c>
      <c r="C161" s="8" t="inlineStr">
        <is>
          <t>Hip circles</t>
        </is>
      </c>
      <c r="D161" s="8" t="inlineStr">
        <is>
          <t>Can appear in a first workout</t>
        </is>
      </c>
      <c r="E161" s="8" t="inlineStr">
        <is>
          <t>missing (coming)</t>
        </is>
      </c>
      <c r="F161" s="8" t="inlineStr">
        <is>
          <t>missing (coming)</t>
        </is>
      </c>
      <c r="G161" s="8" t="inlineStr">
        <is>
          <t>Hips (Hip flexors): primary, 0.6
Glutes (Gluteus maximus and medius): secondary, 0.3</t>
        </is>
      </c>
      <c r="H161" s="8" t="inlineStr">
        <is>
          <t>Bodyweight</t>
        </is>
      </c>
      <c r="I161" s="8" t="inlineStr">
        <is>
          <t>Home, Gym, Outdoors</t>
        </is>
      </c>
      <c r="J161" s="8" t="n">
        <v>1</v>
      </c>
      <c r="K161" s="8" t="inlineStr">
        <is>
          <t>9+ (kids)</t>
        </is>
      </c>
      <c r="L161" s="8" t="inlineStr">
        <is>
          <t>Standing, With support</t>
        </is>
      </c>
      <c r="M161" s="8" t="inlineStr">
        <is>
          <t>None</t>
        </is>
      </c>
      <c r="N161" s="8" t="inlineStr">
        <is>
          <t>Hands on hips, draw slow circles with your hips both ways.</t>
        </is>
      </c>
      <c r="O161" s="8" t="inlineStr">
        <is>
          <t>Warm-up: mobility</t>
        </is>
      </c>
      <c r="P161" s="8" t="inlineStr">
        <is>
          <t>Hip: Turn the hip (full)
Hip: Leg out to the side (partial)</t>
        </is>
      </c>
      <c r="Q161" s="9" t="n"/>
      <c r="R161" s="9" t="n"/>
    </row>
    <row r="162">
      <c r="A162" s="8" t="n">
        <v>161</v>
      </c>
      <c r="B162" s="8" t="inlineStr">
        <is>
          <t>incline_machine_press</t>
        </is>
      </c>
      <c r="C162" s="8" t="inlineStr">
        <is>
          <t>Incline machine press</t>
        </is>
      </c>
      <c r="D162" s="8" t="inlineStr">
        <is>
          <t>Can appear in a first workout</t>
        </is>
      </c>
      <c r="E162" s="8" t="inlineStr">
        <is>
          <t>missing (coming)</t>
        </is>
      </c>
      <c r="F162" s="8" t="inlineStr">
        <is>
          <t>missing (coming)</t>
        </is>
      </c>
      <c r="G162" s="8" t="inlineStr">
        <is>
          <t>Upper chest (Pectoralis major · clavicular head): primary, 1.0
Triceps (Triceps brachii): secondary, 0.5
Front shoulders (Deltoid · front head): secondary, 0.4</t>
        </is>
      </c>
      <c r="H162" s="8" t="inlineStr">
        <is>
          <t>Chest press machine</t>
        </is>
      </c>
      <c r="I162" s="8" t="inlineStr">
        <is>
          <t>Gym</t>
        </is>
      </c>
      <c r="J162" s="8" t="n">
        <v>1</v>
      </c>
      <c r="K162" s="8" t="inlineStr">
        <is>
          <t>13+ (teens)</t>
        </is>
      </c>
      <c r="L162" s="8" t="inlineStr">
        <is>
          <t>Standing, With support, Seated</t>
        </is>
      </c>
      <c r="M162" s="8" t="inlineStr">
        <is>
          <t>Shoulder, Recent surgery</t>
        </is>
      </c>
      <c r="N162" s="8" t="inlineStr">
        <is>
          <t>Set the seat so handles start at upper-chest height and press up and forward without locking elbows.</t>
        </is>
      </c>
      <c r="O162" s="8" t="inlineStr">
        <is>
          <t>Main work</t>
        </is>
      </c>
      <c r="P162" s="8" t="inlineStr">
        <is>
          <t>Shoulder: Push (full)
Shoulder: Raise arm in front (partial)
Elbow: Straighten elbow with weight (full)
Wrist: Grip tight (partial)</t>
        </is>
      </c>
      <c r="Q162" s="9" t="n"/>
      <c r="R162" s="9" t="n"/>
    </row>
    <row r="163">
      <c r="A163" s="8" t="n">
        <v>162</v>
      </c>
      <c r="B163" s="8" t="inlineStr">
        <is>
          <t>jumping_jacks</t>
        </is>
      </c>
      <c r="C163" s="8" t="inlineStr">
        <is>
          <t>Jumping jacks</t>
        </is>
      </c>
      <c r="D163" s="8" t="inlineStr">
        <is>
          <t>Can appear in a first workout</t>
        </is>
      </c>
      <c r="E163" s="8" t="inlineStr">
        <is>
          <t>missing (coming)</t>
        </is>
      </c>
      <c r="F163" s="8" t="inlineStr">
        <is>
          <t>missing (coming)</t>
        </is>
      </c>
      <c r="G163" s="8" t="inlineStr">
        <is>
          <t>Calves (Gastrocnemius and soleus): primary, 0.6
Quads (Quadriceps): secondary, 0.3
Front shoulders (Deltoid · front head): secondary, 0.3</t>
        </is>
      </c>
      <c r="H163" s="8" t="inlineStr">
        <is>
          <t>Bodyweight</t>
        </is>
      </c>
      <c r="I163" s="8" t="inlineStr">
        <is>
          <t>Home, Gym, Outdoors</t>
        </is>
      </c>
      <c r="J163" s="8" t="n">
        <v>2</v>
      </c>
      <c r="K163" s="8" t="inlineStr">
        <is>
          <t>9+ (kids)</t>
        </is>
      </c>
      <c r="L163" s="8" t="inlineStr">
        <is>
          <t>Standing</t>
        </is>
      </c>
      <c r="M163" s="8" t="inlineStr">
        <is>
          <t>Knee, Ankle / foot, Hip, Heart condition, Pregnant / postpartum, Recent surgery, Osteoporosis, Fell in the last year</t>
        </is>
      </c>
      <c r="N163" s="8" t="inlineStr">
        <is>
          <t>Jump feet apart as arms go up, then back together. Land softly.</t>
        </is>
      </c>
      <c r="O163" s="8" t="inlineStr">
        <is>
          <t>Warm-up: easy cardio, Finisher: cardio</t>
        </is>
      </c>
      <c r="P163" s="8" t="inlineStr">
        <is>
          <t>Shoulder: Raise arm to the side (full)
Shoulder: Arm overhead (full)
Hip: Leg out to the side (partial)
Knee: Jump or run (full)
Ankle: Jump or run (full)</t>
        </is>
      </c>
      <c r="Q163" s="9" t="n"/>
      <c r="R163" s="9" t="n"/>
    </row>
    <row r="164">
      <c r="A164" s="8" t="n">
        <v>163</v>
      </c>
      <c r="B164" s="8" t="inlineStr">
        <is>
          <t>lat_pulldown</t>
        </is>
      </c>
      <c r="C164" s="8" t="inlineStr">
        <is>
          <t>Lat pulldown</t>
        </is>
      </c>
      <c r="D164" s="8" t="inlineStr">
        <is>
          <t>Can appear in a first workout</t>
        </is>
      </c>
      <c r="E164" s="8" t="inlineStr">
        <is>
          <t>missing (coming)</t>
        </is>
      </c>
      <c r="F164" s="8" t="inlineStr">
        <is>
          <t>missing (coming)</t>
        </is>
      </c>
      <c r="G164" s="8" t="inlineStr">
        <is>
          <t>Lats (Latissimus dorsi): primary, 1.0
Biceps (Biceps brachii): secondary, 0.5
Upper back (Rhomboids and middle trapezius): secondary, 0.4</t>
        </is>
      </c>
      <c r="H164" s="8" t="inlineStr">
        <is>
          <t>Lat pulldown</t>
        </is>
      </c>
      <c r="I164" s="8" t="inlineStr">
        <is>
          <t>Gym</t>
        </is>
      </c>
      <c r="J164" s="8" t="n">
        <v>2</v>
      </c>
      <c r="K164" s="8" t="inlineStr">
        <is>
          <t>13+ (teens)</t>
        </is>
      </c>
      <c r="L164" s="8" t="inlineStr">
        <is>
          <t>Standing, With support, Seated</t>
        </is>
      </c>
      <c r="M164" s="8" t="inlineStr">
        <is>
          <t>Shoulder</t>
        </is>
      </c>
      <c r="N164" s="8" t="inlineStr">
        <is>
          <t>Pull the bar to your upper chest, chest up.</t>
        </is>
      </c>
      <c r="O164" s="8" t="inlineStr">
        <is>
          <t>Main work</t>
        </is>
      </c>
      <c r="P164" s="8" t="inlineStr">
        <is>
          <t>Shoulder: Arm overhead (full)
Shoulder: Pull (full)
Elbow: Bend elbow with weight (full)
Wrist: Grip tight (full)</t>
        </is>
      </c>
      <c r="Q164" s="9" t="n"/>
      <c r="R164" s="9" t="n"/>
    </row>
    <row r="165">
      <c r="A165" s="8" t="n">
        <v>164</v>
      </c>
      <c r="B165" s="8" t="inlineStr">
        <is>
          <t>leg_press</t>
        </is>
      </c>
      <c r="C165" s="8" t="inlineStr">
        <is>
          <t>Leg press</t>
        </is>
      </c>
      <c r="D165" s="8" t="inlineStr">
        <is>
          <t>Can appear in a first workout</t>
        </is>
      </c>
      <c r="E165" s="8" t="inlineStr">
        <is>
          <t>missing (coming)</t>
        </is>
      </c>
      <c r="F165" s="8" t="inlineStr">
        <is>
          <t>missing (coming)</t>
        </is>
      </c>
      <c r="G165" s="8" t="inlineStr">
        <is>
          <t>Quads (Quadriceps): primary, 1.0
Glutes (Gluteus maximus and medius): secondary, 0.6</t>
        </is>
      </c>
      <c r="H165" s="8" t="inlineStr">
        <is>
          <t>Leg press</t>
        </is>
      </c>
      <c r="I165" s="8" t="inlineStr">
        <is>
          <t>Gym</t>
        </is>
      </c>
      <c r="J165" s="8" t="n">
        <v>1</v>
      </c>
      <c r="K165" s="8" t="inlineStr">
        <is>
          <t>13+ (teens)</t>
        </is>
      </c>
      <c r="L165" s="8" t="inlineStr">
        <is>
          <t>Standing, With support, Seated</t>
        </is>
      </c>
      <c r="M165" s="8" t="inlineStr">
        <is>
          <t>Knee, Lower back</t>
        </is>
      </c>
      <c r="N165" s="8" t="inlineStr">
        <is>
          <t>Feet hip-width; lower with control and press away.</t>
        </is>
      </c>
      <c r="O165" s="8" t="inlineStr">
        <is>
          <t>Main work</t>
        </is>
      </c>
      <c r="P165" s="8" t="inlineStr">
        <is>
          <t>Knee: Bend the knee deep (full)
Hip: Deep squat (full)</t>
        </is>
      </c>
      <c r="Q165" s="9" t="n"/>
      <c r="R165" s="9" t="n"/>
    </row>
    <row r="166">
      <c r="A166" s="8" t="n">
        <v>165</v>
      </c>
      <c r="B166" s="8" t="inlineStr">
        <is>
          <t>leg_swings</t>
        </is>
      </c>
      <c r="C166" s="8" t="inlineStr">
        <is>
          <t>Leg swings</t>
        </is>
      </c>
      <c r="D166" s="8" t="inlineStr">
        <is>
          <t>Can appear in a first workout</t>
        </is>
      </c>
      <c r="E166" s="8" t="inlineStr">
        <is>
          <t>missing (coming)</t>
        </is>
      </c>
      <c r="F166" s="8" t="inlineStr">
        <is>
          <t>missing (coming)</t>
        </is>
      </c>
      <c r="G166" s="8" t="inlineStr">
        <is>
          <t>Hips (Hip flexors): primary, 0.6
Hamstrings (Hamstrings): secondary, 0.5</t>
        </is>
      </c>
      <c r="H166" s="8" t="inlineStr">
        <is>
          <t>Bodyweight</t>
        </is>
      </c>
      <c r="I166" s="8" t="inlineStr">
        <is>
          <t>Home, Gym, Outdoors</t>
        </is>
      </c>
      <c r="J166" s="8" t="n">
        <v>1</v>
      </c>
      <c r="K166" s="8" t="inlineStr">
        <is>
          <t>9+ (kids)</t>
        </is>
      </c>
      <c r="L166" s="8" t="inlineStr">
        <is>
          <t>Standing, With support</t>
        </is>
      </c>
      <c r="M166" s="8" t="inlineStr">
        <is>
          <t>Hip</t>
        </is>
      </c>
      <c r="N166" s="8" t="inlineStr">
        <is>
          <t>Hold a support and swing one leg forward and back, relaxed.</t>
        </is>
      </c>
      <c r="O166" s="8" t="inlineStr">
        <is>
          <t>Warm-up: mobility</t>
        </is>
      </c>
      <c r="P166" s="8" t="inlineStr">
        <is>
          <t>Hip: Knee toward chest (full)
Hip: Leg behind you (full)
Ankle: Balance and uneven ground (partial)
Knee: Twist on the knee (partial)</t>
        </is>
      </c>
      <c r="Q166" s="9" t="n"/>
      <c r="R166" s="9" t="n"/>
    </row>
    <row r="167">
      <c r="A167" s="8" t="n">
        <v>166</v>
      </c>
      <c r="B167" s="8" t="inlineStr">
        <is>
          <t>machine_ab_crunch</t>
        </is>
      </c>
      <c r="C167" s="8" t="inlineStr">
        <is>
          <t>Machine ab crunch</t>
        </is>
      </c>
      <c r="D167" s="8" t="inlineStr">
        <is>
          <t>Can appear in a first workout</t>
        </is>
      </c>
      <c r="E167" s="8" t="inlineStr">
        <is>
          <t>missing (coming)</t>
        </is>
      </c>
      <c r="F167" s="8" t="inlineStr">
        <is>
          <t>missing (coming)</t>
        </is>
      </c>
      <c r="G167" s="8" t="inlineStr">
        <is>
          <t>Upper abs (Rectus abdominis · upper): primary, 0.8
Lower abs (Rectus abdominis · lower): secondary, 0.4</t>
        </is>
      </c>
      <c r="H167" s="8" t="inlineStr">
        <is>
          <t>Ab crunch machine</t>
        </is>
      </c>
      <c r="I167" s="8" t="inlineStr">
        <is>
          <t>Gym</t>
        </is>
      </c>
      <c r="J167" s="8" t="n">
        <v>1</v>
      </c>
      <c r="K167" s="8" t="inlineStr">
        <is>
          <t>13+ (teens)</t>
        </is>
      </c>
      <c r="L167" s="8" t="inlineStr">
        <is>
          <t>Standing, With support, Seated</t>
        </is>
      </c>
      <c r="M167" s="8" t="inlineStr">
        <is>
          <t>Pregnant / postpartum, Osteoporosis, Lower back, Recent surgery</t>
        </is>
      </c>
      <c r="N167" s="8" t="inlineStr">
        <is>
          <t>Sit tall, set a light weight; curl your chest toward your hips with your abs, return slowly.</t>
        </is>
      </c>
      <c r="O167" s="8" t="inlineStr">
        <is>
          <t>Main work</t>
        </is>
      </c>
      <c r="P167" s="8" t="inlineStr">
        <is>
          <t>Lower back: Bend forward (partial)</t>
        </is>
      </c>
      <c r="Q167" s="9" t="n"/>
      <c r="R167" s="9" t="n"/>
    </row>
    <row r="168">
      <c r="A168" s="8" t="n">
        <v>167</v>
      </c>
      <c r="B168" s="8" t="inlineStr">
        <is>
          <t>machine_chest_fly</t>
        </is>
      </c>
      <c r="C168" s="8" t="inlineStr">
        <is>
          <t>Machine chest fly</t>
        </is>
      </c>
      <c r="D168" s="8" t="inlineStr">
        <is>
          <t>Can appear in a first workout</t>
        </is>
      </c>
      <c r="E168" s="8" t="inlineStr">
        <is>
          <t>missing (coming)</t>
        </is>
      </c>
      <c r="F168" s="8" t="inlineStr">
        <is>
          <t>missing (coming)</t>
        </is>
      </c>
      <c r="G168" s="8" t="inlineStr">
        <is>
          <t>Mid chest (Pectoralis major · sternal head): primary, 1.0
Front shoulders (Deltoid · front head): secondary, 0.3</t>
        </is>
      </c>
      <c r="H168" s="8" t="inlineStr">
        <is>
          <t>Pec deck</t>
        </is>
      </c>
      <c r="I168" s="8" t="inlineStr">
        <is>
          <t>Gym</t>
        </is>
      </c>
      <c r="J168" s="8" t="n">
        <v>1</v>
      </c>
      <c r="K168" s="8" t="inlineStr">
        <is>
          <t>13+ (teens)</t>
        </is>
      </c>
      <c r="L168" s="8" t="inlineStr">
        <is>
          <t>Standing, With support, Seated</t>
        </is>
      </c>
      <c r="M168" s="8" t="inlineStr">
        <is>
          <t>Shoulder, Recent surgery</t>
        </is>
      </c>
      <c r="N168" s="8" t="inlineStr">
        <is>
          <t>Sit tall with handles at chest height and bring them together in front of you, then open slowly.</t>
        </is>
      </c>
      <c r="O168" s="8" t="inlineStr">
        <is>
          <t>Main work</t>
        </is>
      </c>
      <c r="P168" s="8" t="inlineStr">
        <is>
          <t>Shoulder: Push (full)
Wrist: Grip tight (partial)</t>
        </is>
      </c>
      <c r="Q168" s="9" t="n"/>
      <c r="R168" s="9" t="n"/>
    </row>
    <row r="169">
      <c r="A169" s="8" t="n">
        <v>168</v>
      </c>
      <c r="B169" s="8" t="inlineStr">
        <is>
          <t>machine_leg_extension</t>
        </is>
      </c>
      <c r="C169" s="8" t="inlineStr">
        <is>
          <t>Machine leg extension</t>
        </is>
      </c>
      <c r="D169" s="8" t="inlineStr">
        <is>
          <t>Can appear in a first workout</t>
        </is>
      </c>
      <c r="E169" s="8" t="inlineStr">
        <is>
          <t>missing (coming)</t>
        </is>
      </c>
      <c r="F169" s="8" t="inlineStr">
        <is>
          <t>missing (coming)</t>
        </is>
      </c>
      <c r="G169" s="8" t="inlineStr">
        <is>
          <t>Quads (Quadriceps): primary, 0.9
Knees (Muscles around the knee): primary, 0.5</t>
        </is>
      </c>
      <c r="H169" s="8" t="inlineStr">
        <is>
          <t>Leg extension machine</t>
        </is>
      </c>
      <c r="I169" s="8" t="inlineStr">
        <is>
          <t>Gym</t>
        </is>
      </c>
      <c r="J169" s="8" t="n">
        <v>1</v>
      </c>
      <c r="K169" s="8" t="inlineStr">
        <is>
          <t>13+ (teens)</t>
        </is>
      </c>
      <c r="L169" s="8" t="inlineStr">
        <is>
          <t>Standing, With support, Seated</t>
        </is>
      </c>
      <c r="M169" s="8" t="inlineStr">
        <is>
          <t>Recent surgery</t>
        </is>
      </c>
      <c r="N169" s="8" t="inlineStr">
        <is>
          <t>Pad on your lower shins, back against the seat; straighten your knees smoothly, lower slowly.</t>
        </is>
      </c>
      <c r="O169" s="8" t="inlineStr">
        <is>
          <t>Main work</t>
        </is>
      </c>
      <c r="P169" s="8" t="inlineStr">
        <is>
          <t>Knee: Straighten with effort (full)</t>
        </is>
      </c>
      <c r="Q169" s="9" t="n"/>
      <c r="R169" s="9" t="n"/>
    </row>
    <row r="170">
      <c r="A170" s="8" t="n">
        <v>169</v>
      </c>
      <c r="B170" s="8" t="inlineStr">
        <is>
          <t>overhead_triceps_stretch</t>
        </is>
      </c>
      <c r="C170" s="8" t="inlineStr">
        <is>
          <t>Overhead triceps stretch</t>
        </is>
      </c>
      <c r="D170" s="8" t="inlineStr">
        <is>
          <t>Can appear in a first workout</t>
        </is>
      </c>
      <c r="E170" s="8" t="inlineStr">
        <is>
          <t>missing (coming)</t>
        </is>
      </c>
      <c r="F170" s="8" t="inlineStr">
        <is>
          <t>missing (coming)</t>
        </is>
      </c>
      <c r="G170" s="8" t="inlineStr">
        <is>
          <t>Triceps (Triceps brachii): primary, 0.8
Lats (Latissimus dorsi): secondary, 0.3</t>
        </is>
      </c>
      <c r="H170" s="8" t="inlineStr">
        <is>
          <t>Bodyweight</t>
        </is>
      </c>
      <c r="I170" s="8" t="inlineStr">
        <is>
          <t>Home, Gym, Outdoors</t>
        </is>
      </c>
      <c r="J170" s="8" t="n">
        <v>1</v>
      </c>
      <c r="K170" s="8" t="inlineStr">
        <is>
          <t>9+ (kids)</t>
        </is>
      </c>
      <c r="L170" s="8" t="inlineStr">
        <is>
          <t>Standing, With support, Seated</t>
        </is>
      </c>
      <c r="M170" s="8" t="inlineStr">
        <is>
          <t>Shoulder</t>
        </is>
      </c>
      <c r="N170" s="8" t="inlineStr">
        <is>
          <t>Hand behind your head; gently press the elbow.</t>
        </is>
      </c>
      <c r="O170" s="8" t="inlineStr">
        <is>
          <t>Cool-down: stretch</t>
        </is>
      </c>
      <c r="P170" s="8" t="inlineStr">
        <is>
          <t>Shoulder: Arm overhead (full)
Elbow: Bend elbow with weight (full)</t>
        </is>
      </c>
      <c r="Q170" s="9" t="n"/>
      <c r="R170" s="9" t="n"/>
    </row>
    <row r="171">
      <c r="A171" s="8" t="n">
        <v>170</v>
      </c>
      <c r="B171" s="8" t="inlineStr">
        <is>
          <t>prone_lat_pulldown</t>
        </is>
      </c>
      <c r="C171" s="8" t="inlineStr">
        <is>
          <t>Floor lat pulldown</t>
        </is>
      </c>
      <c r="D171" s="8" t="inlineStr">
        <is>
          <t>Can appear in a first workout</t>
        </is>
      </c>
      <c r="E171" s="8" t="inlineStr">
        <is>
          <t>missing (coming)</t>
        </is>
      </c>
      <c r="F171" s="8" t="inlineStr">
        <is>
          <t>prone_lat_pulldown.m.mp4</t>
        </is>
      </c>
      <c r="G171" s="8" t="inlineStr">
        <is>
          <t>Lats (Latissimus dorsi): primary, 0.7
Upper back (Rhomboids and middle trapezius): primary, 0.6
Rear shoulders (Deltoid · rear head): secondary, 0.4
Lower back (Erector spinae): secondary, 0.3</t>
        </is>
      </c>
      <c r="H171" s="8" t="inlineStr">
        <is>
          <t>Bodyweight</t>
        </is>
      </c>
      <c r="I171" s="8" t="inlineStr">
        <is>
          <t>Home, Gym, Outdoors</t>
        </is>
      </c>
      <c r="J171" s="8" t="n">
        <v>1</v>
      </c>
      <c r="K171" s="8" t="inlineStr">
        <is>
          <t>9+ (kids)</t>
        </is>
      </c>
      <c r="L171" s="8" t="inlineStr">
        <is>
          <t>Standing</t>
        </is>
      </c>
      <c r="M171" s="8" t="inlineStr">
        <is>
          <t>Lower back, Pregnant / postpartum, Recent surgery</t>
        </is>
      </c>
      <c r="N171" s="8" t="inlineStr">
        <is>
          <t>Lie face down, arms overhead just off the floor, and pull your elbows down to your sides, then reach again.</t>
        </is>
      </c>
      <c r="O171" s="8" t="inlineStr">
        <is>
          <t>Main work</t>
        </is>
      </c>
      <c r="P171" s="8" t="inlineStr">
        <is>
          <t>Shoulder: Arm overhead (partial)
Shoulder: Pull (full)
Elbow: Bend elbow with weight (full)
Lower back: Arch your back (partial)</t>
        </is>
      </c>
      <c r="Q171" s="9" t="n"/>
      <c r="R171" s="9" t="n"/>
    </row>
    <row r="172">
      <c r="A172" s="8" t="n">
        <v>171</v>
      </c>
      <c r="B172" s="8" t="inlineStr">
        <is>
          <t>push_up</t>
        </is>
      </c>
      <c r="C172" s="8" t="inlineStr">
        <is>
          <t>Push-up</t>
        </is>
      </c>
      <c r="D172" s="8" t="inlineStr">
        <is>
          <t>Can appear in a first workout</t>
        </is>
      </c>
      <c r="E172" s="8" t="inlineStr">
        <is>
          <t>missing (coming)</t>
        </is>
      </c>
      <c r="F172" s="8" t="inlineStr">
        <is>
          <t>missing (coming)</t>
        </is>
      </c>
      <c r="G172" s="8" t="inlineStr">
        <is>
          <t>Mid chest (Pectoralis major · sternal head): primary, 1.0
Triceps (Triceps brachii): secondary, 0.5
Front shoulders (Deltoid · front head): secondary, 0.4
Upper abs (Rectus abdominis · upper): stabilizer, 0.2</t>
        </is>
      </c>
      <c r="H172" s="8" t="inlineStr">
        <is>
          <t>Bodyweight</t>
        </is>
      </c>
      <c r="I172" s="8" t="inlineStr">
        <is>
          <t>Home, Gym, Outdoors</t>
        </is>
      </c>
      <c r="J172" s="8" t="n">
        <v>3</v>
      </c>
      <c r="K172" s="8" t="inlineStr">
        <is>
          <t>9+ (kids)</t>
        </is>
      </c>
      <c r="L172" s="8" t="inlineStr">
        <is>
          <t>Standing</t>
        </is>
      </c>
      <c r="M172" s="8" t="inlineStr">
        <is>
          <t>Shoulder, Elbow / wrist, Recent surgery</t>
        </is>
      </c>
      <c r="N172" s="8" t="inlineStr">
        <is>
          <t>Body in a straight line; lower your chest to the floor and press up.</t>
        </is>
      </c>
      <c r="O172" s="8" t="inlineStr">
        <is>
          <t>Main work</t>
        </is>
      </c>
      <c r="P172" s="8" t="inlineStr">
        <is>
          <t>Shoulder: Push (full)
Elbow: Straighten elbow with weight (full)
Wrist: Weight on your hands (full)</t>
        </is>
      </c>
      <c r="Q172" s="9" t="n"/>
      <c r="R172" s="9" t="n"/>
    </row>
    <row r="173">
      <c r="A173" s="8" t="n">
        <v>172</v>
      </c>
      <c r="B173" s="8" t="inlineStr">
        <is>
          <t>reverse_lunge</t>
        </is>
      </c>
      <c r="C173" s="8" t="inlineStr">
        <is>
          <t>Reverse lunge</t>
        </is>
      </c>
      <c r="D173" s="8" t="inlineStr">
        <is>
          <t>Can appear in a first workout</t>
        </is>
      </c>
      <c r="E173" s="8" t="inlineStr">
        <is>
          <t>missing (coming)</t>
        </is>
      </c>
      <c r="F173" s="8" t="inlineStr">
        <is>
          <t>missing (coming)</t>
        </is>
      </c>
      <c r="G173" s="8" t="inlineStr">
        <is>
          <t>Quads (Quadriceps): primary, 0.8
Glutes (Gluteus maximus and medius): primary, 0.8
Inner thighs (Hip adductors): secondary, 0.3</t>
        </is>
      </c>
      <c r="H173" s="8" t="inlineStr">
        <is>
          <t>Bodyweight</t>
        </is>
      </c>
      <c r="I173" s="8" t="inlineStr">
        <is>
          <t>Home, Gym, Outdoors</t>
        </is>
      </c>
      <c r="J173" s="8" t="n">
        <v>2</v>
      </c>
      <c r="K173" s="8" t="inlineStr">
        <is>
          <t>9+ (kids)</t>
        </is>
      </c>
      <c r="L173" s="8" t="inlineStr">
        <is>
          <t>Standing</t>
        </is>
      </c>
      <c r="M173" s="8" t="inlineStr">
        <is>
          <t>Knee, Hip, Ankle / foot, Fell in the last year</t>
        </is>
      </c>
      <c r="N173" s="8" t="inlineStr">
        <is>
          <t>Step back and lower both knees, then return.</t>
        </is>
      </c>
      <c r="O173" s="8" t="inlineStr">
        <is>
          <t>Main work</t>
        </is>
      </c>
      <c r="P173" s="8" t="inlineStr">
        <is>
          <t>Knee: Bend the knee deep (full)
Hip: Leg behind you (full)
Hip: Stand on one leg (partial)
Ankle: Knee over toes (full)
Ankle: Balance and uneven ground (partial)</t>
        </is>
      </c>
      <c r="Q173" s="9" t="n"/>
      <c r="R173" s="9" t="n"/>
    </row>
    <row r="174">
      <c r="A174" s="8" t="n">
        <v>173</v>
      </c>
      <c r="B174" s="8" t="inlineStr">
        <is>
          <t>seated_band_pulldown</t>
        </is>
      </c>
      <c r="C174" s="8" t="inlineStr">
        <is>
          <t>Seated band pulldown</t>
        </is>
      </c>
      <c r="D174" s="8" t="inlineStr">
        <is>
          <t>Can appear in a first workout</t>
        </is>
      </c>
      <c r="E174" s="8" t="inlineStr">
        <is>
          <t>missing (coming)</t>
        </is>
      </c>
      <c r="F174" s="8" t="inlineStr">
        <is>
          <t>missing (coming)</t>
        </is>
      </c>
      <c r="G174" s="8" t="inlineStr">
        <is>
          <t>Lats (Latissimus dorsi): primary, 0.9
Upper back (Rhomboids and middle trapezius): secondary, 0.4
Biceps (Biceps brachii): secondary, 0.4</t>
        </is>
      </c>
      <c r="H174" s="8" t="inlineStr">
        <is>
          <t>Long resistance bands</t>
        </is>
      </c>
      <c r="I174" s="8" t="inlineStr">
        <is>
          <t>Home, Gym, Outdoors</t>
        </is>
      </c>
      <c r="J174" s="8" t="n">
        <v>1</v>
      </c>
      <c r="K174" s="8" t="inlineStr">
        <is>
          <t>9+ (kids)</t>
        </is>
      </c>
      <c r="L174" s="8" t="inlineStr">
        <is>
          <t>Seated</t>
        </is>
      </c>
      <c r="M174" s="8" t="inlineStr">
        <is>
          <t>Shoulder, Recent surgery</t>
        </is>
      </c>
      <c r="N174" s="8" t="inlineStr">
        <is>
          <t>Sit tall, hold the band overhead with hands wide, and pull it apart and down behind your head to your neck.</t>
        </is>
      </c>
      <c r="O174" s="8" t="inlineStr">
        <is>
          <t>Main work</t>
        </is>
      </c>
      <c r="P174" s="8" t="inlineStr">
        <is>
          <t>Shoulder: Arm overhead (full)
Shoulder: Pull (full)
Elbow: Bend elbow with weight (full)
Wrist: Grip tight (partial)</t>
        </is>
      </c>
      <c r="Q174" s="9" t="n"/>
      <c r="R174" s="9" t="n"/>
    </row>
    <row r="175">
      <c r="A175" s="8" t="n">
        <v>174</v>
      </c>
      <c r="B175" s="8" t="inlineStr">
        <is>
          <t>seated_calf_raise_machine</t>
        </is>
      </c>
      <c r="C175" s="8" t="inlineStr">
        <is>
          <t>Seated calf raise machine</t>
        </is>
      </c>
      <c r="D175" s="8" t="inlineStr">
        <is>
          <t>Can appear in a first workout</t>
        </is>
      </c>
      <c r="E175" s="8" t="inlineStr">
        <is>
          <t>missing (coming)</t>
        </is>
      </c>
      <c r="F175" s="8" t="inlineStr">
        <is>
          <t>missing (coming)</t>
        </is>
      </c>
      <c r="G175" s="8" t="inlineStr">
        <is>
          <t>Calves (Gastrocnemius and soleus): primary, 0.9</t>
        </is>
      </c>
      <c r="H175" s="8" t="inlineStr">
        <is>
          <t>Calf raise machine</t>
        </is>
      </c>
      <c r="I175" s="8" t="inlineStr">
        <is>
          <t>Gym</t>
        </is>
      </c>
      <c r="J175" s="8" t="n">
        <v>1</v>
      </c>
      <c r="K175" s="8" t="inlineStr">
        <is>
          <t>13+ (teens)</t>
        </is>
      </c>
      <c r="L175" s="8" t="inlineStr">
        <is>
          <t>Standing, With support, Seated</t>
        </is>
      </c>
      <c r="M175" s="8" t="inlineStr">
        <is>
          <t>Recent surgery</t>
        </is>
      </c>
      <c r="N175" s="8" t="inlineStr">
        <is>
          <t>Pad on your thighs, balls of feet on the step; lift heels high, lower slowly to a gentle stretch.</t>
        </is>
      </c>
      <c r="O175" s="8" t="inlineStr">
        <is>
          <t>Main work</t>
        </is>
      </c>
      <c r="P175" s="8" t="inlineStr">
        <is>
          <t>Ankle: Tiptoe (full)
Ankle: Knee over toes (partial)
Knee: Bend the knee deep (hold, no movement)</t>
        </is>
      </c>
      <c r="Q175" s="9" t="n"/>
      <c r="R175" s="9" t="n"/>
    </row>
    <row r="176">
      <c r="A176" s="8" t="n">
        <v>175</v>
      </c>
      <c r="B176" s="8" t="inlineStr">
        <is>
          <t>seated_figure_four_stretch</t>
        </is>
      </c>
      <c r="C176" s="8" t="inlineStr">
        <is>
          <t>Seated figure-four stretch</t>
        </is>
      </c>
      <c r="D176" s="8" t="inlineStr">
        <is>
          <t>Can appear in a first workout</t>
        </is>
      </c>
      <c r="E176" s="8" t="inlineStr">
        <is>
          <t>missing (coming)</t>
        </is>
      </c>
      <c r="F176" s="8" t="inlineStr">
        <is>
          <t>missing (coming)</t>
        </is>
      </c>
      <c r="G176" s="8" t="inlineStr">
        <is>
          <t>Glutes (Gluteus maximus and medius): primary, 0.9
Hips (Hip flexors): secondary, 0.4</t>
        </is>
      </c>
      <c r="H176" s="8" t="inlineStr">
        <is>
          <t>Bodyweight</t>
        </is>
      </c>
      <c r="I176" s="8" t="inlineStr">
        <is>
          <t>Home, Gym, Outdoors</t>
        </is>
      </c>
      <c r="J176" s="8" t="n">
        <v>1</v>
      </c>
      <c r="K176" s="8" t="inlineStr">
        <is>
          <t>9+ (kids)</t>
        </is>
      </c>
      <c r="L176" s="8" t="inlineStr">
        <is>
          <t>Standing, With support, Seated</t>
        </is>
      </c>
      <c r="M176" s="8" t="inlineStr">
        <is>
          <t>Hip, Knee</t>
        </is>
      </c>
      <c r="N176" s="8" t="inlineStr">
        <is>
          <t>Ankle over the other knee; lean forward gently.</t>
        </is>
      </c>
      <c r="O176" s="8" t="inlineStr">
        <is>
          <t>Cool-down: stretch</t>
        </is>
      </c>
      <c r="P176" s="8" t="inlineStr">
        <is>
          <t>Hip: Turn the hip (full)
Knee: Bend the knee deep (partial)</t>
        </is>
      </c>
      <c r="Q176" s="9" t="n"/>
      <c r="R176" s="9" t="n"/>
    </row>
    <row r="177">
      <c r="A177" s="8" t="n">
        <v>176</v>
      </c>
      <c r="B177" s="8" t="inlineStr">
        <is>
          <t>seated_hamstring_stretch</t>
        </is>
      </c>
      <c r="C177" s="8" t="inlineStr">
        <is>
          <t>Seated hamstring stretch</t>
        </is>
      </c>
      <c r="D177" s="8" t="inlineStr">
        <is>
          <t>Can appear in a first workout</t>
        </is>
      </c>
      <c r="E177" s="8" t="inlineStr">
        <is>
          <t>missing (coming)</t>
        </is>
      </c>
      <c r="F177" s="8" t="inlineStr">
        <is>
          <t>missing (coming)</t>
        </is>
      </c>
      <c r="G177" s="8" t="inlineStr">
        <is>
          <t>Hamstrings (Hamstrings): primary, 0.9
Calves (Gastrocnemius and soleus): secondary, 0.3</t>
        </is>
      </c>
      <c r="H177" s="8" t="inlineStr">
        <is>
          <t>Bodyweight</t>
        </is>
      </c>
      <c r="I177" s="8" t="inlineStr">
        <is>
          <t>Home, Gym, Outdoors</t>
        </is>
      </c>
      <c r="J177" s="8" t="n">
        <v>1</v>
      </c>
      <c r="K177" s="8" t="inlineStr">
        <is>
          <t>9+ (kids)</t>
        </is>
      </c>
      <c r="L177" s="8" t="inlineStr">
        <is>
          <t>Standing, With support, Seated</t>
        </is>
      </c>
      <c r="M177" s="8" t="inlineStr">
        <is>
          <t>None</t>
        </is>
      </c>
      <c r="N177" s="8" t="inlineStr">
        <is>
          <t>Leg straight; lean forward from the hips.</t>
        </is>
      </c>
      <c r="O177" s="8" t="inlineStr">
        <is>
          <t>Cool-down: stretch</t>
        </is>
      </c>
      <c r="P177" s="8" t="inlineStr">
        <is>
          <t>Hip: Knee toward chest (full)
Lower back: Bend forward (partial)
Knee: Straighten with effort (hold, no movement)</t>
        </is>
      </c>
      <c r="Q177" s="9" t="n"/>
      <c r="R177" s="9" t="n"/>
    </row>
    <row r="178">
      <c r="A178" s="8" t="n">
        <v>177</v>
      </c>
      <c r="B178" s="8" t="inlineStr">
        <is>
          <t>seated_leg_curl_machine</t>
        </is>
      </c>
      <c r="C178" s="8" t="inlineStr">
        <is>
          <t>Seated leg curl</t>
        </is>
      </c>
      <c r="D178" s="8" t="inlineStr">
        <is>
          <t>Can appear in a first workout</t>
        </is>
      </c>
      <c r="E178" s="8" t="inlineStr">
        <is>
          <t>missing (coming)</t>
        </is>
      </c>
      <c r="F178" s="8" t="inlineStr">
        <is>
          <t>missing (coming)</t>
        </is>
      </c>
      <c r="G178" s="8" t="inlineStr">
        <is>
          <t>Hamstrings (Hamstrings): primary, 0.9
Calves (Gastrocnemius and soleus): secondary, 0.2</t>
        </is>
      </c>
      <c r="H178" s="8" t="inlineStr">
        <is>
          <t>Leg curl machine</t>
        </is>
      </c>
      <c r="I178" s="8" t="inlineStr">
        <is>
          <t>Gym</t>
        </is>
      </c>
      <c r="J178" s="8" t="n">
        <v>1</v>
      </c>
      <c r="K178" s="8" t="inlineStr">
        <is>
          <t>13+ (teens)</t>
        </is>
      </c>
      <c r="L178" s="8" t="inlineStr">
        <is>
          <t>Standing, With support, Seated</t>
        </is>
      </c>
      <c r="M178" s="8" t="inlineStr">
        <is>
          <t>Recent surgery</t>
        </is>
      </c>
      <c r="N178" s="8" t="inlineStr">
        <is>
          <t>Pad above your heels, thigh pad snug; bend your knees to pull the pad down, return slowly.</t>
        </is>
      </c>
      <c r="O178" s="8" t="inlineStr">
        <is>
          <t>Main work</t>
        </is>
      </c>
      <c r="P178" s="8" t="inlineStr">
        <is>
          <t>Knee: Bend the knee deep (full)</t>
        </is>
      </c>
      <c r="Q178" s="9" t="n"/>
      <c r="R178" s="9" t="n"/>
    </row>
    <row r="179">
      <c r="A179" s="8" t="n">
        <v>178</v>
      </c>
      <c r="B179" s="8" t="inlineStr">
        <is>
          <t>sf_seated_prayer_press_pulses</t>
        </is>
      </c>
      <c r="C179" s="8" t="inlineStr">
        <is>
          <t>Seated prayer press pulses</t>
        </is>
      </c>
      <c r="D179" s="8" t="inlineStr">
        <is>
          <t>Can appear in a first workout</t>
        </is>
      </c>
      <c r="E179" s="8" t="inlineStr">
        <is>
          <t>missing (coming)</t>
        </is>
      </c>
      <c r="F179" s="8" t="inlineStr">
        <is>
          <t>missing (coming)</t>
        </is>
      </c>
      <c r="G179" s="8" t="inlineStr">
        <is>
          <t>Mid chest (Pectoralis major · sternal head): primary, 0.8
Front shoulders (Deltoid · front head): secondary, 0.3
Triceps (Triceps brachii): secondary, 0.2</t>
        </is>
      </c>
      <c r="H179" s="8" t="inlineStr">
        <is>
          <t>Bodyweight</t>
        </is>
      </c>
      <c r="I179" s="8" t="inlineStr">
        <is>
          <t>Home, Gym, Outdoors</t>
        </is>
      </c>
      <c r="J179" s="8" t="n">
        <v>1</v>
      </c>
      <c r="K179" s="8" t="inlineStr">
        <is>
          <t>13+ (teens)</t>
        </is>
      </c>
      <c r="L179" s="8" t="inlineStr">
        <is>
          <t>Standing, With support, Seated</t>
        </is>
      </c>
      <c r="M179" s="8" t="inlineStr">
        <is>
          <t>Shoulder, Recent surgery</t>
        </is>
      </c>
      <c r="N179" s="8" t="inlineStr">
        <is>
          <t>Press palms together at chest height, push them forward and back in small pulses, keeping the squeeze.</t>
        </is>
      </c>
      <c r="O179" s="8" t="inlineStr">
        <is>
          <t>Main work</t>
        </is>
      </c>
      <c r="P179" s="8" t="inlineStr">
        <is>
          <t>Shoulder: Push (partial)
Elbow: Straighten elbow with weight (partial)</t>
        </is>
      </c>
      <c r="Q179" s="9" t="n"/>
      <c r="R179" s="9" t="n"/>
    </row>
    <row r="180">
      <c r="A180" s="8" t="n">
        <v>179</v>
      </c>
      <c r="B180" s="8" t="inlineStr">
        <is>
          <t>side_plank</t>
        </is>
      </c>
      <c r="C180" s="8" t="inlineStr">
        <is>
          <t>Side plank</t>
        </is>
      </c>
      <c r="D180" s="8" t="inlineStr">
        <is>
          <t>Can appear in a first workout</t>
        </is>
      </c>
      <c r="E180" s="8" t="inlineStr">
        <is>
          <t>missing (coming)</t>
        </is>
      </c>
      <c r="F180" s="8" t="inlineStr">
        <is>
          <t>missing (coming)</t>
        </is>
      </c>
      <c r="G180" s="8" t="inlineStr">
        <is>
          <t>Obliques (External and internal obliques): primary, 1.0
Lower abs (Rectus abdominis · lower): secondary, 0.3
Hips (Hip flexors): secondary, 0.3</t>
        </is>
      </c>
      <c r="H180" s="8" t="inlineStr">
        <is>
          <t>Bodyweight</t>
        </is>
      </c>
      <c r="I180" s="8" t="inlineStr">
        <is>
          <t>Home, Gym, Outdoors</t>
        </is>
      </c>
      <c r="J180" s="8" t="n">
        <v>2</v>
      </c>
      <c r="K180" s="8" t="inlineStr">
        <is>
          <t>9+ (kids)</t>
        </is>
      </c>
      <c r="L180" s="8" t="inlineStr">
        <is>
          <t>Standing</t>
        </is>
      </c>
      <c r="M180" s="8" t="inlineStr">
        <is>
          <t>Shoulder, Recent surgery, High blood pressure</t>
        </is>
      </c>
      <c r="N180" s="8" t="inlineStr">
        <is>
          <t>On one elbow, lift your hips into a straight line.</t>
        </is>
      </c>
      <c r="O180" s="8" t="inlineStr">
        <is>
          <t>Main work</t>
        </is>
      </c>
      <c r="P180" s="8" t="inlineStr">
        <is>
          <t>Shoulder: Push (hold, no movement)
Hip: Leg out to the side (hold, no movement)
Lower back: Lean to the side (hold, no movement)</t>
        </is>
      </c>
      <c r="Q180" s="9" t="n"/>
      <c r="R180" s="9" t="n"/>
    </row>
    <row r="181">
      <c r="A181" s="8" t="n">
        <v>180</v>
      </c>
      <c r="B181" s="8" t="inlineStr">
        <is>
          <t>single_arm_band_incline_press</t>
        </is>
      </c>
      <c r="C181" s="8" t="inlineStr">
        <is>
          <t>One-arm band incline press</t>
        </is>
      </c>
      <c r="D181" s="8" t="inlineStr">
        <is>
          <t>Can appear in a first workout</t>
        </is>
      </c>
      <c r="E181" s="8" t="inlineStr">
        <is>
          <t>missing (coming)</t>
        </is>
      </c>
      <c r="F181" s="8" t="inlineStr">
        <is>
          <t>missing (coming)</t>
        </is>
      </c>
      <c r="G181" s="8" t="inlineStr">
        <is>
          <t>Upper chest (Pectoralis major · clavicular head): primary, 0.9
Triceps (Triceps brachii): secondary, 0.5
Obliques (External and internal obliques): secondary, 0.3</t>
        </is>
      </c>
      <c r="H181" s="8" t="inlineStr">
        <is>
          <t>Long resistance bands</t>
        </is>
      </c>
      <c r="I181" s="8" t="inlineStr">
        <is>
          <t>Home, Gym, Outdoors</t>
        </is>
      </c>
      <c r="J181" s="8" t="n">
        <v>2</v>
      </c>
      <c r="K181" s="8" t="inlineStr">
        <is>
          <t>9+ (kids)</t>
        </is>
      </c>
      <c r="L181" s="8" t="inlineStr">
        <is>
          <t>Standing, With support</t>
        </is>
      </c>
      <c r="M181" s="8" t="inlineStr">
        <is>
          <t>Shoulder, Recent surgery</t>
        </is>
      </c>
      <c r="N181" s="8" t="inlineStr">
        <is>
          <t>Band anchored low behind you, press one hand up and forward without twisting your trunk, then switch.</t>
        </is>
      </c>
      <c r="O181" s="8" t="inlineStr">
        <is>
          <t>Main work</t>
        </is>
      </c>
      <c r="P181" s="8" t="inlineStr">
        <is>
          <t>Shoulder: Push (full)
Shoulder: Raise arm in front (partial)
Elbow: Straighten elbow with weight (full)
Wrist: Grip tight (partial)</t>
        </is>
      </c>
      <c r="Q181" s="9" t="n"/>
      <c r="R181" s="9" t="n"/>
    </row>
    <row r="182">
      <c r="A182" s="8" t="n">
        <v>181</v>
      </c>
      <c r="B182" s="8" t="inlineStr">
        <is>
          <t>single_arm_bridge_floor_press</t>
        </is>
      </c>
      <c r="C182" s="8" t="inlineStr">
        <is>
          <t>One-arm bridge floor press</t>
        </is>
      </c>
      <c r="D182" s="8" t="inlineStr">
        <is>
          <t>Can appear in a first workout</t>
        </is>
      </c>
      <c r="E182" s="8" t="inlineStr">
        <is>
          <t>missing (coming)</t>
        </is>
      </c>
      <c r="F182" s="8" t="inlineStr">
        <is>
          <t>missing (coming)</t>
        </is>
      </c>
      <c r="G182" s="8" t="inlineStr">
        <is>
          <t>Lower chest (Pectoralis major · lower fibers): primary, 0.9
Triceps (Triceps brachii): secondary, 0.5
Obliques (External and internal obliques): secondary, 0.4
Glutes (Gluteus maximus and medius): secondary, 0.4</t>
        </is>
      </c>
      <c r="H182" s="8" t="inlineStr">
        <is>
          <t>Dumbbells</t>
        </is>
      </c>
      <c r="I182" s="8" t="inlineStr">
        <is>
          <t>Home, Gym</t>
        </is>
      </c>
      <c r="J182" s="8" t="n">
        <v>2</v>
      </c>
      <c r="K182" s="8" t="inlineStr">
        <is>
          <t>13+ (teens)</t>
        </is>
      </c>
      <c r="L182" s="8" t="inlineStr">
        <is>
          <t>Standing</t>
        </is>
      </c>
      <c r="M182" s="8" t="inlineStr">
        <is>
          <t>Shoulder, Elbow / wrist, Pregnant / postpartum, Recent surgery</t>
        </is>
      </c>
      <c r="N182" s="8" t="inlineStr">
        <is>
          <t>Hold a hip bridge and press one dumbbell up over your lower chest without letting your hips tilt.</t>
        </is>
      </c>
      <c r="O182" s="8" t="inlineStr">
        <is>
          <t>Main work</t>
        </is>
      </c>
      <c r="P182" s="8" t="inlineStr">
        <is>
          <t>Shoulder: Push (full)
Elbow: Straighten elbow with weight (full)
Wrist: Grip tight (partial)
Hip: Leg behind you (hold, no movement)
Knee: Bend the knee deep (hold, no movement)</t>
        </is>
      </c>
      <c r="Q182" s="9" t="n"/>
      <c r="R182" s="9" t="n"/>
    </row>
    <row r="183">
      <c r="A183" s="8" t="n">
        <v>182</v>
      </c>
      <c r="B183" s="8" t="inlineStr">
        <is>
          <t>single_arm_cable_pulldown</t>
        </is>
      </c>
      <c r="C183" s="8" t="inlineStr">
        <is>
          <t>One-arm cable pulldown</t>
        </is>
      </c>
      <c r="D183" s="8" t="inlineStr">
        <is>
          <t>Can appear in a first workout</t>
        </is>
      </c>
      <c r="E183" s="8" t="inlineStr">
        <is>
          <t>missing (coming)</t>
        </is>
      </c>
      <c r="F183" s="8" t="inlineStr">
        <is>
          <t>missing (coming)</t>
        </is>
      </c>
      <c r="G183" s="8" t="inlineStr">
        <is>
          <t>Lats (Latissimus dorsi): primary, 1.0
Biceps (Biceps brachii): secondary, 0.4</t>
        </is>
      </c>
      <c r="H183" s="8" t="inlineStr">
        <is>
          <t>Cable station</t>
        </is>
      </c>
      <c r="I183" s="8" t="inlineStr">
        <is>
          <t>Gym</t>
        </is>
      </c>
      <c r="J183" s="8" t="n">
        <v>1</v>
      </c>
      <c r="K183" s="8" t="inlineStr">
        <is>
          <t>13+ (teens)</t>
        </is>
      </c>
      <c r="L183" s="8" t="inlineStr">
        <is>
          <t>Standing, With support, Seated</t>
        </is>
      </c>
      <c r="M183" s="8" t="inlineStr">
        <is>
          <t>Shoulder, Recent surgery</t>
        </is>
      </c>
      <c r="N183" s="8" t="inlineStr">
        <is>
          <t>Seated or kneeling below a high pulley, pull one elbow down toward your hip, then reach up; switch.</t>
        </is>
      </c>
      <c r="O183" s="8" t="inlineStr">
        <is>
          <t>Main work</t>
        </is>
      </c>
      <c r="P183" s="8" t="inlineStr">
        <is>
          <t>Shoulder: Arm overhead (full)
Shoulder: Pull (full)
Elbow: Bend elbow with weight (full)
Wrist: Grip tight (full)</t>
        </is>
      </c>
      <c r="Q183" s="9" t="n"/>
      <c r="R183" s="9" t="n"/>
    </row>
    <row r="184">
      <c r="A184" s="8" t="n">
        <v>183</v>
      </c>
      <c r="B184" s="8" t="inlineStr">
        <is>
          <t>single_arm_high_to_low_band_fly</t>
        </is>
      </c>
      <c r="C184" s="8" t="inlineStr">
        <is>
          <t>One-arm high-to-low band fly</t>
        </is>
      </c>
      <c r="D184" s="8" t="inlineStr">
        <is>
          <t>Can appear in a first workout</t>
        </is>
      </c>
      <c r="E184" s="8" t="inlineStr">
        <is>
          <t>missing (coming)</t>
        </is>
      </c>
      <c r="F184" s="8" t="inlineStr">
        <is>
          <t>missing (coming)</t>
        </is>
      </c>
      <c r="G184" s="8" t="inlineStr">
        <is>
          <t>Lower chest (Pectoralis major · lower fibers): primary, 0.9
Obliques (External and internal obliques): secondary, 0.3</t>
        </is>
      </c>
      <c r="H184" s="8" t="inlineStr">
        <is>
          <t>Long resistance bands</t>
        </is>
      </c>
      <c r="I184" s="8" t="inlineStr">
        <is>
          <t>Home, Gym, Outdoors</t>
        </is>
      </c>
      <c r="J184" s="8" t="n">
        <v>1</v>
      </c>
      <c r="K184" s="8" t="inlineStr">
        <is>
          <t>9+ (kids)</t>
        </is>
      </c>
      <c r="L184" s="8" t="inlineStr">
        <is>
          <t>Standing, With support</t>
        </is>
      </c>
      <c r="M184" s="8" t="inlineStr">
        <is>
          <t>Shoulder, Recent surgery</t>
        </is>
      </c>
      <c r="N184" s="8" t="inlineStr">
        <is>
          <t>Band anchored high to one side, sweep that hand down across your body to the opposite hip, then switch.</t>
        </is>
      </c>
      <c r="O184" s="8" t="inlineStr">
        <is>
          <t>Main work</t>
        </is>
      </c>
      <c r="P184" s="8" t="inlineStr">
        <is>
          <t>Shoulder: Push (full)
Wrist: Grip tight (partial)</t>
        </is>
      </c>
      <c r="Q184" s="9" t="n"/>
      <c r="R184" s="9" t="n"/>
    </row>
    <row r="185">
      <c r="A185" s="8" t="n">
        <v>184</v>
      </c>
      <c r="B185" s="8" t="inlineStr">
        <is>
          <t>single_arm_high_to_low_cable_fly</t>
        </is>
      </c>
      <c r="C185" s="8" t="inlineStr">
        <is>
          <t>One-arm high-to-low cable fly</t>
        </is>
      </c>
      <c r="D185" s="8" t="inlineStr">
        <is>
          <t>Can appear in a first workout</t>
        </is>
      </c>
      <c r="E185" s="8" t="inlineStr">
        <is>
          <t>missing (coming)</t>
        </is>
      </c>
      <c r="F185" s="8" t="inlineStr">
        <is>
          <t>missing (coming)</t>
        </is>
      </c>
      <c r="G185" s="8" t="inlineStr">
        <is>
          <t>Lower chest (Pectoralis major · lower fibers): primary, 1.0
Obliques (External and internal obliques): secondary, 0.3</t>
        </is>
      </c>
      <c r="H185" s="8" t="inlineStr">
        <is>
          <t>Cable station</t>
        </is>
      </c>
      <c r="I185" s="8" t="inlineStr">
        <is>
          <t>Gym</t>
        </is>
      </c>
      <c r="J185" s="8" t="n">
        <v>2</v>
      </c>
      <c r="K185" s="8" t="inlineStr">
        <is>
          <t>13+ (teens)</t>
        </is>
      </c>
      <c r="L185" s="8" t="inlineStr">
        <is>
          <t>Standing, With support</t>
        </is>
      </c>
      <c r="M185" s="8" t="inlineStr">
        <is>
          <t>Shoulder, Recent surgery</t>
        </is>
      </c>
      <c r="N185" s="8" t="inlineStr">
        <is>
          <t>Pulley set high to one side, sweep the handle down across your body to the opposite hip; switch.</t>
        </is>
      </c>
      <c r="O185" s="8" t="inlineStr">
        <is>
          <t>Main work</t>
        </is>
      </c>
      <c r="P185" s="8" t="inlineStr">
        <is>
          <t>Shoulder: Push (full)
Wrist: Grip tight (partial)</t>
        </is>
      </c>
      <c r="Q185" s="9" t="n"/>
      <c r="R185" s="9" t="n"/>
    </row>
    <row r="186">
      <c r="A186" s="8" t="n">
        <v>185</v>
      </c>
      <c r="B186" s="8" t="inlineStr">
        <is>
          <t>single_leg_glute_bridge</t>
        </is>
      </c>
      <c r="C186" s="8" t="inlineStr">
        <is>
          <t>Single-leg glute bridge</t>
        </is>
      </c>
      <c r="D186" s="8" t="inlineStr">
        <is>
          <t>Can appear in a first workout</t>
        </is>
      </c>
      <c r="E186" s="8" t="inlineStr">
        <is>
          <t>missing (coming)</t>
        </is>
      </c>
      <c r="F186" s="8" t="inlineStr">
        <is>
          <t>missing (coming)</t>
        </is>
      </c>
      <c r="G186" s="8" t="inlineStr">
        <is>
          <t>Glutes (Gluteus maximus and medius): primary, 0.8
Hamstrings (Hamstrings): primary, 0.5
Lower back (Erector spinae): stabilizer, 0.2</t>
        </is>
      </c>
      <c r="H186" s="8" t="inlineStr">
        <is>
          <t>Bodyweight</t>
        </is>
      </c>
      <c r="I186" s="8" t="inlineStr">
        <is>
          <t>Home, Gym, Outdoors</t>
        </is>
      </c>
      <c r="J186" s="8" t="n">
        <v>2</v>
      </c>
      <c r="K186" s="8" t="inlineStr">
        <is>
          <t>9+ (kids)</t>
        </is>
      </c>
      <c r="L186" s="8" t="inlineStr">
        <is>
          <t>Standing</t>
        </is>
      </c>
      <c r="M186" s="8" t="inlineStr">
        <is>
          <t>Pregnant / postpartum, Recent surgery</t>
        </is>
      </c>
      <c r="N186" s="8" t="inlineStr">
        <is>
          <t>Lie on your back, one foot planted, other leg up; lift hips level without arching.</t>
        </is>
      </c>
      <c r="O186" s="8" t="inlineStr">
        <is>
          <t>Main work</t>
        </is>
      </c>
      <c r="P186" s="8" t="inlineStr">
        <is>
          <t>Hip: Leg behind you (full)
Hip: Stand on one leg (partial)
Lower back: Arch your back (hold, no movement)
Knee: Bend the knee deep (hold, no movement)</t>
        </is>
      </c>
      <c r="Q186" s="9" t="n"/>
      <c r="R186" s="9" t="n"/>
    </row>
    <row r="187">
      <c r="A187" s="8" t="n">
        <v>186</v>
      </c>
      <c r="B187" s="8" t="inlineStr">
        <is>
          <t>sl_seated_band_leg_back_pull</t>
        </is>
      </c>
      <c r="C187" s="8" t="inlineStr">
        <is>
          <t>Seated band leg-back pull</t>
        </is>
      </c>
      <c r="D187" s="8" t="inlineStr">
        <is>
          <t>Can appear in a first workout</t>
        </is>
      </c>
      <c r="E187" s="8" t="inlineStr">
        <is>
          <t>missing (coming)</t>
        </is>
      </c>
      <c r="F187" s="8" t="inlineStr">
        <is>
          <t>missing (coming)</t>
        </is>
      </c>
      <c r="G187" s="8" t="inlineStr">
        <is>
          <t>Glutes (Gluteus maximus and medius): primary, 0.7
Hamstrings (Hamstrings): secondary, 0.4</t>
        </is>
      </c>
      <c r="H187" s="8" t="inlineStr">
        <is>
          <t>Long resistance bands</t>
        </is>
      </c>
      <c r="I187" s="8" t="inlineStr">
        <is>
          <t>Home, Gym, Outdoors</t>
        </is>
      </c>
      <c r="J187" s="8" t="n">
        <v>1</v>
      </c>
      <c r="K187" s="8" t="inlineStr">
        <is>
          <t>13+ (teens)</t>
        </is>
      </c>
      <c r="L187" s="8" t="inlineStr">
        <is>
          <t>Standing, With support, Seated</t>
        </is>
      </c>
      <c r="M187" s="8" t="inlineStr">
        <is>
          <t>Hip, Recent surgery</t>
        </is>
      </c>
      <c r="N187" s="8" t="inlineStr">
        <is>
          <t>Band around both ankles, sit near the edge and slide one foot back under the chair against the band, then return.</t>
        </is>
      </c>
      <c r="O187" s="8" t="inlineStr">
        <is>
          <t>Main work</t>
        </is>
      </c>
      <c r="P187" s="8" t="inlineStr">
        <is>
          <t>Hip: Leg behind you (partial)
Knee: Bend the knee deep (partial)</t>
        </is>
      </c>
      <c r="Q187" s="9" t="n"/>
      <c r="R187" s="9" t="n"/>
    </row>
    <row r="188">
      <c r="A188" s="8" t="n">
        <v>187</v>
      </c>
      <c r="B188" s="8" t="inlineStr">
        <is>
          <t>sl_seated_double_leg_extension</t>
        </is>
      </c>
      <c r="C188" s="8" t="inlineStr">
        <is>
          <t>Seated double leg extension</t>
        </is>
      </c>
      <c r="D188" s="8" t="inlineStr">
        <is>
          <t>Can appear in a first workout</t>
        </is>
      </c>
      <c r="E188" s="8" t="inlineStr">
        <is>
          <t>missing (coming)</t>
        </is>
      </c>
      <c r="F188" s="8" t="inlineStr">
        <is>
          <t>missing (coming)</t>
        </is>
      </c>
      <c r="G188" s="8" t="inlineStr">
        <is>
          <t>Quads (Quadriceps): primary, 0.8
Hips (Hip flexors): secondary, 0.3
Lower abs (Rectus abdominis · lower): stabilizer, 0.2</t>
        </is>
      </c>
      <c r="H188" s="8" t="inlineStr">
        <is>
          <t>Bodyweight</t>
        </is>
      </c>
      <c r="I188" s="8" t="inlineStr">
        <is>
          <t>Home, Gym, Outdoors</t>
        </is>
      </c>
      <c r="J188" s="8" t="n">
        <v>2</v>
      </c>
      <c r="K188" s="8" t="inlineStr">
        <is>
          <t>13+ (teens)</t>
        </is>
      </c>
      <c r="L188" s="8" t="inlineStr">
        <is>
          <t>Standing, With support, Seated</t>
        </is>
      </c>
      <c r="M188" s="8" t="inlineStr">
        <is>
          <t>Knee, Lower back, Recent surgery</t>
        </is>
      </c>
      <c r="N188" s="8" t="inlineStr">
        <is>
          <t>Hold the chair seat, sit tall and straighten both legs together, pause, then bend them back down slowly.</t>
        </is>
      </c>
      <c r="O188" s="8" t="inlineStr">
        <is>
          <t>Main work</t>
        </is>
      </c>
      <c r="P188" s="8" t="inlineStr">
        <is>
          <t>Knee: Straighten with effort (full)
Hip: Knee toward chest (hold, no movement)</t>
        </is>
      </c>
      <c r="Q188" s="9" t="n"/>
      <c r="R188" s="9" t="n"/>
    </row>
    <row r="189">
      <c r="A189" s="8" t="n">
        <v>188</v>
      </c>
      <c r="B189" s="8" t="inlineStr">
        <is>
          <t>sl_seated_hand_pressed_heel_raise</t>
        </is>
      </c>
      <c r="C189" s="8" t="inlineStr">
        <is>
          <t>Seated hand-pressed heel raise</t>
        </is>
      </c>
      <c r="D189" s="8" t="inlineStr">
        <is>
          <t>Can appear in a first workout</t>
        </is>
      </c>
      <c r="E189" s="8" t="inlineStr">
        <is>
          <t>missing (coming)</t>
        </is>
      </c>
      <c r="F189" s="8" t="inlineStr">
        <is>
          <t>missing (coming)</t>
        </is>
      </c>
      <c r="G189" s="8" t="inlineStr">
        <is>
          <t>Calves (Gastrocnemius and soleus): primary, 0.8</t>
        </is>
      </c>
      <c r="H189" s="8" t="inlineStr">
        <is>
          <t>Bodyweight</t>
        </is>
      </c>
      <c r="I189" s="8" t="inlineStr">
        <is>
          <t>Home, Gym, Outdoors</t>
        </is>
      </c>
      <c r="J189" s="8" t="n">
        <v>1</v>
      </c>
      <c r="K189" s="8" t="inlineStr">
        <is>
          <t>13+ (teens)</t>
        </is>
      </c>
      <c r="L189" s="8" t="inlineStr">
        <is>
          <t>Standing, With support, Seated</t>
        </is>
      </c>
      <c r="M189" s="8" t="inlineStr">
        <is>
          <t>Ankle / foot, Recent surgery</t>
        </is>
      </c>
      <c r="N189" s="8" t="inlineStr">
        <is>
          <t>Press both hands down on one knee for resistance and lift that heel as high as you can, then lower slowly.</t>
        </is>
      </c>
      <c r="O189" s="8" t="inlineStr">
        <is>
          <t>Main work</t>
        </is>
      </c>
      <c r="P189" s="8" t="inlineStr">
        <is>
          <t>Ankle: Tiptoe (full)
Knee: Bend the knee deep (hold, no movement)</t>
        </is>
      </c>
      <c r="Q189" s="9" t="n"/>
      <c r="R189" s="9" t="n"/>
    </row>
    <row r="190">
      <c r="A190" s="8" t="n">
        <v>189</v>
      </c>
      <c r="B190" s="8" t="inlineStr">
        <is>
          <t>sl_seated_seat_hover_hold</t>
        </is>
      </c>
      <c r="C190" s="8" t="inlineStr">
        <is>
          <t>Seated seat hover hold</t>
        </is>
      </c>
      <c r="D190" s="8" t="inlineStr">
        <is>
          <t>Can appear in a first workout</t>
        </is>
      </c>
      <c r="E190" s="8" t="inlineStr">
        <is>
          <t>missing (coming)</t>
        </is>
      </c>
      <c r="F190" s="8" t="inlineStr">
        <is>
          <t>missing (coming)</t>
        </is>
      </c>
      <c r="G190" s="8" t="inlineStr">
        <is>
          <t>Glutes (Gluteus maximus and medius): primary, 0.6
Quads (Quadriceps): primary, 0.5</t>
        </is>
      </c>
      <c r="H190" s="8" t="inlineStr">
        <is>
          <t>Bodyweight</t>
        </is>
      </c>
      <c r="I190" s="8" t="inlineStr">
        <is>
          <t>Home, Gym, Outdoors</t>
        </is>
      </c>
      <c r="J190" s="8" t="n">
        <v>2</v>
      </c>
      <c r="K190" s="8" t="inlineStr">
        <is>
          <t>13+ (teens)</t>
        </is>
      </c>
      <c r="L190" s="8" t="inlineStr">
        <is>
          <t>Standing, With support, Seated</t>
        </is>
      </c>
      <c r="M190" s="8" t="inlineStr">
        <is>
          <t>Knee, Hip, Recent surgery</t>
        </is>
      </c>
      <c r="N190" s="8" t="inlineStr">
        <is>
          <t>Lean forward with feet under knees and lift your bottom just off the seat, hold briefly, then sit back down softly.</t>
        </is>
      </c>
      <c r="O190" s="8" t="inlineStr">
        <is>
          <t>Main work</t>
        </is>
      </c>
      <c r="P190" s="8" t="inlineStr">
        <is>
          <t>Hip: Leg behind you (hold, no movement)
Knee: Straighten with effort (hold, no movement)</t>
        </is>
      </c>
      <c r="Q190" s="9" t="n"/>
      <c r="R190" s="9" t="n"/>
    </row>
    <row r="191">
      <c r="A191" s="8" t="n">
        <v>190</v>
      </c>
      <c r="B191" s="8" t="inlineStr">
        <is>
          <t>st_neck_diagonal_stretch</t>
        </is>
      </c>
      <c r="C191" s="8" t="inlineStr">
        <is>
          <t>Diagonal neck stretch</t>
        </is>
      </c>
      <c r="D191" s="8" t="inlineStr">
        <is>
          <t>Can appear in a first workout</t>
        </is>
      </c>
      <c r="E191" s="8" t="inlineStr">
        <is>
          <t>missing (coming)</t>
        </is>
      </c>
      <c r="F191" s="8" t="inlineStr">
        <is>
          <t>missing (coming)</t>
        </is>
      </c>
      <c r="G191" s="8" t="inlineStr">
        <is>
          <t>Traps (Trapezius): primary, 0.8
Upper back (Rhomboids and middle trapezius): secondary, 0.3</t>
        </is>
      </c>
      <c r="H191" s="8" t="inlineStr">
        <is>
          <t>Bodyweight</t>
        </is>
      </c>
      <c r="I191" s="8" t="inlineStr">
        <is>
          <t>Home, Gym, Outdoors</t>
        </is>
      </c>
      <c r="J191" s="8" t="n">
        <v>1</v>
      </c>
      <c r="K191" s="8" t="inlineStr">
        <is>
          <t>9+ (kids)</t>
        </is>
      </c>
      <c r="L191" s="8" t="inlineStr">
        <is>
          <t>Standing, With support, Seated</t>
        </is>
      </c>
      <c r="M191" s="8" t="inlineStr">
        <is>
          <t>Neck</t>
        </is>
      </c>
      <c r="N191" s="8" t="inlineStr">
        <is>
          <t>Turn your head slightly to one side and lower your chin toward that armpit; breathe and relax.</t>
        </is>
      </c>
      <c r="O191" s="8" t="inlineStr">
        <is>
          <t>Cool-down: stretch</t>
        </is>
      </c>
      <c r="P191" s="8" t="inlineStr">
        <is>
          <t>Neck: Look down (partial)
Neck: Turn your head (partial)</t>
        </is>
      </c>
      <c r="Q191" s="9" t="n"/>
      <c r="R191" s="9" t="n"/>
    </row>
    <row r="192">
      <c r="A192" s="8" t="n">
        <v>191</v>
      </c>
      <c r="B192" s="8" t="inlineStr">
        <is>
          <t>st_seated_calf_stretch</t>
        </is>
      </c>
      <c r="C192" s="8" t="inlineStr">
        <is>
          <t>Seated calf stretch</t>
        </is>
      </c>
      <c r="D192" s="8" t="inlineStr">
        <is>
          <t>Can appear in a first workout</t>
        </is>
      </c>
      <c r="E192" s="8" t="inlineStr">
        <is>
          <t>missing (coming)</t>
        </is>
      </c>
      <c r="F192" s="8" t="inlineStr">
        <is>
          <t>missing (coming)</t>
        </is>
      </c>
      <c r="G192" s="8" t="inlineStr">
        <is>
          <t>Calves (Gastrocnemius and soleus): primary, 0.8
Hamstrings (Hamstrings): secondary, 0.4</t>
        </is>
      </c>
      <c r="H192" s="8" t="inlineStr">
        <is>
          <t>Bodyweight</t>
        </is>
      </c>
      <c r="I192" s="8" t="inlineStr">
        <is>
          <t>Home, Gym, Outdoors</t>
        </is>
      </c>
      <c r="J192" s="8" t="n">
        <v>1</v>
      </c>
      <c r="K192" s="8" t="inlineStr">
        <is>
          <t>9+ (kids)</t>
        </is>
      </c>
      <c r="L192" s="8" t="inlineStr">
        <is>
          <t>Standing, With support, Seated</t>
        </is>
      </c>
      <c r="M192" s="8" t="inlineStr">
        <is>
          <t>None</t>
        </is>
      </c>
      <c r="N192" s="8" t="inlineStr">
        <is>
          <t>Sit near the chair edge, straighten one leg with the heel down and pull your toes back toward you.</t>
        </is>
      </c>
      <c r="O192" s="8" t="inlineStr">
        <is>
          <t>Cool-down: stretch</t>
        </is>
      </c>
      <c r="P192" s="8" t="inlineStr">
        <is>
          <t>Ankle: Knee over toes (full)
Knee: Straighten with effort (partial)</t>
        </is>
      </c>
      <c r="Q192" s="9" t="n"/>
      <c r="R192" s="9" t="n"/>
    </row>
    <row r="193">
      <c r="A193" s="8" t="n">
        <v>192</v>
      </c>
      <c r="B193" s="8" t="inlineStr">
        <is>
          <t>st_seated_forward_fold</t>
        </is>
      </c>
      <c r="C193" s="8" t="inlineStr">
        <is>
          <t>Seated forward fold</t>
        </is>
      </c>
      <c r="D193" s="8" t="inlineStr">
        <is>
          <t>Can appear in a first workout</t>
        </is>
      </c>
      <c r="E193" s="8" t="inlineStr">
        <is>
          <t>missing (coming)</t>
        </is>
      </c>
      <c r="F193" s="8" t="inlineStr">
        <is>
          <t>missing (coming)</t>
        </is>
      </c>
      <c r="G193" s="8" t="inlineStr">
        <is>
          <t>Lower back (Erector spinae): primary, 0.7
Upper back (Rhomboids and middle trapezius): secondary, 0.4
Glutes (Gluteus maximus and medius): secondary, 0.3</t>
        </is>
      </c>
      <c r="H193" s="8" t="inlineStr">
        <is>
          <t>Bodyweight</t>
        </is>
      </c>
      <c r="I193" s="8" t="inlineStr">
        <is>
          <t>Home, Gym, Outdoors</t>
        </is>
      </c>
      <c r="J193" s="8" t="n">
        <v>1</v>
      </c>
      <c r="K193" s="8" t="inlineStr">
        <is>
          <t>9+ (kids)</t>
        </is>
      </c>
      <c r="L193" s="8" t="inlineStr">
        <is>
          <t>Standing, With support, Seated</t>
        </is>
      </c>
      <c r="M193" s="8" t="inlineStr">
        <is>
          <t>Osteoporosis, High blood pressure</t>
        </is>
      </c>
      <c r="N193" s="8" t="inlineStr">
        <is>
          <t>Sit with feet wide and let your chest lower slowly toward your thighs, hands sliding down your legs.</t>
        </is>
      </c>
      <c r="O193" s="8" t="inlineStr">
        <is>
          <t>Cool-down: stretch</t>
        </is>
      </c>
      <c r="P193" s="8" t="inlineStr">
        <is>
          <t>Lower back: Bend forward (full)
Hip: Knee toward chest (full)
Knee: Straighten with effort (hold, no movement)</t>
        </is>
      </c>
      <c r="Q193" s="9" t="n"/>
      <c r="R193" s="9" t="n"/>
    </row>
    <row r="194">
      <c r="A194" s="8" t="n">
        <v>193</v>
      </c>
      <c r="B194" s="8" t="inlineStr">
        <is>
          <t>st_seated_hip_flexor_stretch</t>
        </is>
      </c>
      <c r="C194" s="8" t="inlineStr">
        <is>
          <t>Seated hip flexor stretch</t>
        </is>
      </c>
      <c r="D194" s="8" t="inlineStr">
        <is>
          <t>Can appear in a first workout</t>
        </is>
      </c>
      <c r="E194" s="8" t="inlineStr">
        <is>
          <t>missing (coming)</t>
        </is>
      </c>
      <c r="F194" s="8" t="inlineStr">
        <is>
          <t>missing (coming)</t>
        </is>
      </c>
      <c r="G194" s="8" t="inlineStr">
        <is>
          <t>Hips (Hip flexors): primary, 0.8
Quads (Quadriceps): secondary, 0.5</t>
        </is>
      </c>
      <c r="H194" s="8" t="inlineStr">
        <is>
          <t>Bodyweight</t>
        </is>
      </c>
      <c r="I194" s="8" t="inlineStr">
        <is>
          <t>Home, Gym, Outdoors</t>
        </is>
      </c>
      <c r="J194" s="8" t="n">
        <v>1</v>
      </c>
      <c r="K194" s="8" t="inlineStr">
        <is>
          <t>13+ (teens)</t>
        </is>
      </c>
      <c r="L194" s="8" t="inlineStr">
        <is>
          <t>Standing, With support, Seated</t>
        </is>
      </c>
      <c r="M194" s="8" t="inlineStr">
        <is>
          <t>None</t>
        </is>
      </c>
      <c r="N194" s="8" t="inlineStr">
        <is>
          <t>Sit sideways on a sturdy chair edge, slide the outside leg back with toes down and sit tall.</t>
        </is>
      </c>
      <c r="O194" s="8" t="inlineStr">
        <is>
          <t>Cool-down: stretch</t>
        </is>
      </c>
      <c r="P194" s="8" t="inlineStr">
        <is>
          <t>Hip: Leg behind you (partial)
Knee: Bend the knee deep (partial)</t>
        </is>
      </c>
      <c r="Q194" s="9" t="n"/>
      <c r="R194" s="9" t="n"/>
    </row>
    <row r="195">
      <c r="A195" s="8" t="n">
        <v>194</v>
      </c>
      <c r="B195" s="8" t="inlineStr">
        <is>
          <t>st_seated_wide_leg_stretch</t>
        </is>
      </c>
      <c r="C195" s="8" t="inlineStr">
        <is>
          <t>Seated wide-leg stretch</t>
        </is>
      </c>
      <c r="D195" s="8" t="inlineStr">
        <is>
          <t>Can appear in a first workout</t>
        </is>
      </c>
      <c r="E195" s="8" t="inlineStr">
        <is>
          <t>missing (coming)</t>
        </is>
      </c>
      <c r="F195" s="8" t="inlineStr">
        <is>
          <t>missing (coming)</t>
        </is>
      </c>
      <c r="G195" s="8" t="inlineStr">
        <is>
          <t>Inner thighs (Hip adductors): primary, 0.7
Hips (Hip flexors): secondary, 0.4</t>
        </is>
      </c>
      <c r="H195" s="8" t="inlineStr">
        <is>
          <t>Bodyweight</t>
        </is>
      </c>
      <c r="I195" s="8" t="inlineStr">
        <is>
          <t>Home, Gym, Outdoors</t>
        </is>
      </c>
      <c r="J195" s="8" t="n">
        <v>1</v>
      </c>
      <c r="K195" s="8" t="inlineStr">
        <is>
          <t>9+ (kids)</t>
        </is>
      </c>
      <c r="L195" s="8" t="inlineStr">
        <is>
          <t>Standing, With support, Seated</t>
        </is>
      </c>
      <c r="M195" s="8" t="inlineStr">
        <is>
          <t>None</t>
        </is>
      </c>
      <c r="N195" s="8" t="inlineStr">
        <is>
          <t>Sit on a chair with knees wide, hands on inner thighs, and lean forward gently with a long back.</t>
        </is>
      </c>
      <c r="O195" s="8" t="inlineStr">
        <is>
          <t>Cool-down: stretch</t>
        </is>
      </c>
      <c r="P195" s="8" t="inlineStr">
        <is>
          <t>Hip: Leg out to the side (full)
Hip: Knee toward chest (partial)</t>
        </is>
      </c>
      <c r="Q195" s="9" t="n"/>
      <c r="R195" s="9" t="n"/>
    </row>
    <row r="196">
      <c r="A196" s="8" t="n">
        <v>195</v>
      </c>
      <c r="B196" s="8" t="inlineStr">
        <is>
          <t>st_wall_front_shoulder_stretch</t>
        </is>
      </c>
      <c r="C196" s="8" t="inlineStr">
        <is>
          <t>Wall front shoulder stretch</t>
        </is>
      </c>
      <c r="D196" s="8" t="inlineStr">
        <is>
          <t>Can appear in a first workout</t>
        </is>
      </c>
      <c r="E196" s="8" t="inlineStr">
        <is>
          <t>missing (coming)</t>
        </is>
      </c>
      <c r="F196" s="8" t="inlineStr">
        <is>
          <t>missing (coming)</t>
        </is>
      </c>
      <c r="G196" s="8" t="inlineStr">
        <is>
          <t>Front shoulders (Deltoid · front head): primary, 0.7
Mid chest (Pectoralis major · sternal head): secondary, 0.5
Biceps (Biceps brachii): secondary, 0.3</t>
        </is>
      </c>
      <c r="H196" s="8" t="inlineStr">
        <is>
          <t>Bodyweight</t>
        </is>
      </c>
      <c r="I196" s="8" t="inlineStr">
        <is>
          <t>Home, Gym, Outdoors</t>
        </is>
      </c>
      <c r="J196" s="8" t="n">
        <v>1</v>
      </c>
      <c r="K196" s="8" t="inlineStr">
        <is>
          <t>9+ (kids)</t>
        </is>
      </c>
      <c r="L196" s="8" t="inlineStr">
        <is>
          <t>Standing, With support</t>
        </is>
      </c>
      <c r="M196" s="8" t="inlineStr">
        <is>
          <t>Shoulder</t>
        </is>
      </c>
      <c r="N196" s="8" t="inlineStr">
        <is>
          <t>Place your palm on a wall behind you at shoulder height and turn your body away slowly.</t>
        </is>
      </c>
      <c r="O196" s="8" t="inlineStr">
        <is>
          <t>Cool-down: stretch</t>
        </is>
      </c>
      <c r="P196" s="8" t="inlineStr">
        <is>
          <t>Shoulder: Reach behind your back (partial)
Shoulder: Raise arm to the side (partial)</t>
        </is>
      </c>
      <c r="Q196" s="9" t="n"/>
      <c r="R196" s="9" t="n"/>
    </row>
    <row r="197">
      <c r="A197" s="8" t="n">
        <v>196</v>
      </c>
      <c r="B197" s="8" t="inlineStr">
        <is>
          <t>st_wall_lat_stretch</t>
        </is>
      </c>
      <c r="C197" s="8" t="inlineStr">
        <is>
          <t>Wall lat stretch</t>
        </is>
      </c>
      <c r="D197" s="8" t="inlineStr">
        <is>
          <t>Can appear in a first workout</t>
        </is>
      </c>
      <c r="E197" s="8" t="inlineStr">
        <is>
          <t>missing (coming)</t>
        </is>
      </c>
      <c r="F197" s="8" t="inlineStr">
        <is>
          <t>missing (coming)</t>
        </is>
      </c>
      <c r="G197" s="8" t="inlineStr">
        <is>
          <t>Lats (Latissimus dorsi): primary, 0.8
Upper back (Rhomboids and middle trapezius): secondary, 0.4
Hamstrings (Hamstrings): secondary, 0.3</t>
        </is>
      </c>
      <c r="H197" s="8" t="inlineStr">
        <is>
          <t>Bodyweight</t>
        </is>
      </c>
      <c r="I197" s="8" t="inlineStr">
        <is>
          <t>Home, Gym, Outdoors</t>
        </is>
      </c>
      <c r="J197" s="8" t="n">
        <v>1</v>
      </c>
      <c r="K197" s="8" t="inlineStr">
        <is>
          <t>9+ (kids)</t>
        </is>
      </c>
      <c r="L197" s="8" t="inlineStr">
        <is>
          <t>Standing, With support</t>
        </is>
      </c>
      <c r="M197" s="8" t="inlineStr">
        <is>
          <t>None</t>
        </is>
      </c>
      <c r="N197" s="8" t="inlineStr">
        <is>
          <t>Put your hands on a wall, step back and hinge at the hips until you feel a stretch along your sides.</t>
        </is>
      </c>
      <c r="O197" s="8" t="inlineStr">
        <is>
          <t>Cool-down: stretch</t>
        </is>
      </c>
      <c r="P197" s="8" t="inlineStr">
        <is>
          <t>Shoulder: Arm overhead (partial)
Hip: Knee toward chest (partial)
Knee: Straighten with effort (hold, no movement)</t>
        </is>
      </c>
      <c r="Q197" s="9" t="n"/>
      <c r="R197" s="9" t="n"/>
    </row>
    <row r="198">
      <c r="A198" s="8" t="n">
        <v>197</v>
      </c>
      <c r="B198" s="8" t="inlineStr">
        <is>
          <t>standing_quad_stretch</t>
        </is>
      </c>
      <c r="C198" s="8" t="inlineStr">
        <is>
          <t>Standing quad stretch</t>
        </is>
      </c>
      <c r="D198" s="8" t="inlineStr">
        <is>
          <t>Can appear in a first workout</t>
        </is>
      </c>
      <c r="E198" s="8" t="inlineStr">
        <is>
          <t>missing (coming)</t>
        </is>
      </c>
      <c r="F198" s="8" t="inlineStr">
        <is>
          <t>missing (coming)</t>
        </is>
      </c>
      <c r="G198" s="8" t="inlineStr">
        <is>
          <t>Quads (Quadriceps): primary, 0.9
Hips (Hip flexors): secondary, 0.4
Knees (Muscles around the knee): secondary, 0.3</t>
        </is>
      </c>
      <c r="H198" s="8" t="inlineStr">
        <is>
          <t>Bodyweight</t>
        </is>
      </c>
      <c r="I198" s="8" t="inlineStr">
        <is>
          <t>Home, Gym, Outdoors</t>
        </is>
      </c>
      <c r="J198" s="8" t="n">
        <v>1</v>
      </c>
      <c r="K198" s="8" t="inlineStr">
        <is>
          <t>9+ (kids)</t>
        </is>
      </c>
      <c r="L198" s="8" t="inlineStr">
        <is>
          <t>Standing, With support</t>
        </is>
      </c>
      <c r="M198" s="8" t="inlineStr">
        <is>
          <t>Knee</t>
        </is>
      </c>
      <c r="N198" s="8" t="inlineStr">
        <is>
          <t>Hold a support; pull your heel toward your glute.</t>
        </is>
      </c>
      <c r="O198" s="8" t="inlineStr">
        <is>
          <t>Cool-down: stretch</t>
        </is>
      </c>
      <c r="P198" s="8" t="inlineStr">
        <is>
          <t>Knee: Bend the knee deep (full)
Hip: Leg behind you (partial)
Ankle: Balance and uneven ground (partial)</t>
        </is>
      </c>
      <c r="Q198" s="9" t="n"/>
      <c r="R198" s="9" t="n"/>
    </row>
    <row r="199">
      <c r="A199" s="8" t="n">
        <v>198</v>
      </c>
      <c r="B199" s="8" t="inlineStr">
        <is>
          <t>step_up</t>
        </is>
      </c>
      <c r="C199" s="8" t="inlineStr">
        <is>
          <t>Step-up</t>
        </is>
      </c>
      <c r="D199" s="8" t="inlineStr">
        <is>
          <t>Can appear in a first workout</t>
        </is>
      </c>
      <c r="E199" s="8" t="inlineStr">
        <is>
          <t>missing (coming)</t>
        </is>
      </c>
      <c r="F199" s="8" t="inlineStr">
        <is>
          <t>missing (coming)</t>
        </is>
      </c>
      <c r="G199" s="8" t="inlineStr">
        <is>
          <t>Quads (Quadriceps): primary, 0.9
Glutes (Gluteus maximus and medius): primary, 0.7</t>
        </is>
      </c>
      <c r="H199" s="8" t="inlineStr">
        <is>
          <t>Flat bench</t>
        </is>
      </c>
      <c r="I199" s="8" t="inlineStr">
        <is>
          <t>Home, Gym</t>
        </is>
      </c>
      <c r="J199" s="8" t="n">
        <v>2</v>
      </c>
      <c r="K199" s="8" t="inlineStr">
        <is>
          <t>9+ (kids)</t>
        </is>
      </c>
      <c r="L199" s="8" t="inlineStr">
        <is>
          <t>Standing</t>
        </is>
      </c>
      <c r="M199" s="8" t="inlineStr">
        <is>
          <t>Knee, Ankle / foot, Fell in the last year</t>
        </is>
      </c>
      <c r="N199" s="8" t="inlineStr">
        <is>
          <t>Step onto the bench, stand tall, step down with control.</t>
        </is>
      </c>
      <c r="O199" s="8" t="inlineStr">
        <is>
          <t>Main work, Finisher: cardio</t>
        </is>
      </c>
      <c r="P199" s="8" t="inlineStr">
        <is>
          <t>Knee: Stairs (full)
Hip: Knee toward chest (partial)
Ankle: Balance and uneven ground (partial)</t>
        </is>
      </c>
      <c r="Q199" s="9" t="n"/>
      <c r="R199" s="9" t="n"/>
    </row>
    <row r="200">
      <c r="A200" s="8" t="n">
        <v>199</v>
      </c>
      <c r="B200" s="8" t="inlineStr">
        <is>
          <t>su_seated_band_overhead_pulldown</t>
        </is>
      </c>
      <c r="C200" s="8" t="inlineStr">
        <is>
          <t>Seated band pull-apart pulldown</t>
        </is>
      </c>
      <c r="D200" s="8" t="inlineStr">
        <is>
          <t>Can appear in a first workout</t>
        </is>
      </c>
      <c r="E200" s="8" t="inlineStr">
        <is>
          <t>missing (coming)</t>
        </is>
      </c>
      <c r="F200" s="8" t="inlineStr">
        <is>
          <t>missing (coming)</t>
        </is>
      </c>
      <c r="G200" s="8" t="inlineStr">
        <is>
          <t>Lats (Latissimus dorsi): primary, 0.8
Upper back (Rhomboids and middle trapezius): secondary, 0.4
Rear shoulders (Deltoid · rear head): secondary, 0.3</t>
        </is>
      </c>
      <c r="H200" s="8" t="inlineStr">
        <is>
          <t>Long resistance bands</t>
        </is>
      </c>
      <c r="I200" s="8" t="inlineStr">
        <is>
          <t>Home, Gym, Outdoors</t>
        </is>
      </c>
      <c r="J200" s="8" t="n">
        <v>1</v>
      </c>
      <c r="K200" s="8" t="inlineStr">
        <is>
          <t>9+ (kids)</t>
        </is>
      </c>
      <c r="L200" s="8" t="inlineStr">
        <is>
          <t>Standing, With support, Seated</t>
        </is>
      </c>
      <c r="M200" s="8" t="inlineStr">
        <is>
          <t>Shoulder, Recent surgery</t>
        </is>
      </c>
      <c r="N200" s="8" t="inlineStr">
        <is>
          <t>Hold a band overhead, pull it apart and down in front to chest level, then return with control.</t>
        </is>
      </c>
      <c r="O200" s="8" t="inlineStr">
        <is>
          <t>Main work</t>
        </is>
      </c>
      <c r="P200" s="8" t="inlineStr">
        <is>
          <t>Shoulder: Arm overhead (full)
Shoulder: Pull (full)
Elbow: Bend elbow with weight (partial)
Wrist: Grip tight (partial)</t>
        </is>
      </c>
      <c r="Q200" s="9" t="n"/>
      <c r="R200" s="9" t="n"/>
    </row>
    <row r="201">
      <c r="A201" s="8" t="n">
        <v>200</v>
      </c>
      <c r="B201" s="8" t="inlineStr">
        <is>
          <t>su_seated_w_pulldown</t>
        </is>
      </c>
      <c r="C201" s="8" t="inlineStr">
        <is>
          <t>Seated W pulldown</t>
        </is>
      </c>
      <c r="D201" s="8" t="inlineStr">
        <is>
          <t>Can appear in a first workout</t>
        </is>
      </c>
      <c r="E201" s="8" t="inlineStr">
        <is>
          <t>missing (coming)</t>
        </is>
      </c>
      <c r="F201" s="8" t="inlineStr">
        <is>
          <t>missing (coming)</t>
        </is>
      </c>
      <c r="G201" s="8" t="inlineStr">
        <is>
          <t>Lats (Latissimus dorsi): primary, 0.6
Upper back (Rhomboids and middle trapezius): secondary, 0.4
Traps (Trapezius): secondary, 0.3</t>
        </is>
      </c>
      <c r="H201" s="8" t="inlineStr">
        <is>
          <t>Bodyweight</t>
        </is>
      </c>
      <c r="I201" s="8" t="inlineStr">
        <is>
          <t>Home, Gym, Outdoors</t>
        </is>
      </c>
      <c r="J201" s="8" t="n">
        <v>1</v>
      </c>
      <c r="K201" s="8" t="inlineStr">
        <is>
          <t>9+ (kids)</t>
        </is>
      </c>
      <c r="L201" s="8" t="inlineStr">
        <is>
          <t>Standing, With support, Seated</t>
        </is>
      </c>
      <c r="M201" s="8" t="inlineStr">
        <is>
          <t>Shoulder, Recent surgery</t>
        </is>
      </c>
      <c r="N201" s="8" t="inlineStr">
        <is>
          <t>Reach arms overhead, pull elbows down into a W beside your ribs, squeeze your back, then reach up.</t>
        </is>
      </c>
      <c r="O201" s="8" t="inlineStr">
        <is>
          <t>Main work</t>
        </is>
      </c>
      <c r="P201" s="8" t="inlineStr">
        <is>
          <t>Shoulder: Arm overhead (full)
Shoulder: Pull (full)
Elbow: Bend elbow with weight (full)</t>
        </is>
      </c>
      <c r="Q201" s="9" t="n"/>
      <c r="R201" s="9" t="n"/>
    </row>
    <row r="202">
      <c r="A202" s="8" t="n">
        <v>201</v>
      </c>
      <c r="B202" s="8" t="inlineStr">
        <is>
          <t>superman</t>
        </is>
      </c>
      <c r="C202" s="8" t="inlineStr">
        <is>
          <t>Superman</t>
        </is>
      </c>
      <c r="D202" s="8" t="inlineStr">
        <is>
          <t>Can appear in a first workout</t>
        </is>
      </c>
      <c r="E202" s="8" t="inlineStr">
        <is>
          <t>missing (coming)</t>
        </is>
      </c>
      <c r="F202" s="8" t="inlineStr">
        <is>
          <t>superman.m.mp4</t>
        </is>
      </c>
      <c r="G202" s="8" t="inlineStr">
        <is>
          <t>Lower back (Erector spinae): primary, 1.0
Glutes (Gluteus maximus and medius): secondary, 0.5</t>
        </is>
      </c>
      <c r="H202" s="8" t="inlineStr">
        <is>
          <t>Bodyweight</t>
        </is>
      </c>
      <c r="I202" s="8" t="inlineStr">
        <is>
          <t>Home, Gym</t>
        </is>
      </c>
      <c r="J202" s="8" t="n">
        <v>1</v>
      </c>
      <c r="K202" s="8" t="inlineStr">
        <is>
          <t>9+ (kids)</t>
        </is>
      </c>
      <c r="L202" s="8" t="inlineStr">
        <is>
          <t>Standing</t>
        </is>
      </c>
      <c r="M202" s="8" t="inlineStr">
        <is>
          <t>Lower back, Pregnant / postpartum, Recent surgery</t>
        </is>
      </c>
      <c r="N202" s="8" t="inlineStr">
        <is>
          <t>Lying face down, lift arms and legs a little, then lower.</t>
        </is>
      </c>
      <c r="O202" s="8" t="inlineStr">
        <is>
          <t>Main work</t>
        </is>
      </c>
      <c r="P202" s="8" t="inlineStr">
        <is>
          <t>Lower back: Arch your back (full)
Shoulder: Arm overhead (partial)
Hip: Leg behind you (partial)</t>
        </is>
      </c>
      <c r="Q202" s="9" t="n"/>
      <c r="R202" s="9" t="n"/>
    </row>
    <row r="203">
      <c r="A203" s="8" t="n">
        <v>202</v>
      </c>
      <c r="B203" s="8" t="inlineStr">
        <is>
          <t>supported_hip_extension</t>
        </is>
      </c>
      <c r="C203" s="8" t="inlineStr">
        <is>
          <t>Supported leg kickback</t>
        </is>
      </c>
      <c r="D203" s="8" t="inlineStr">
        <is>
          <t>Can appear in a first workout</t>
        </is>
      </c>
      <c r="E203" s="8" t="inlineStr">
        <is>
          <t>missing (coming)</t>
        </is>
      </c>
      <c r="F203" s="8" t="inlineStr">
        <is>
          <t>missing (coming)</t>
        </is>
      </c>
      <c r="G203" s="8" t="inlineStr">
        <is>
          <t>Glutes (Gluteus maximus and medius): primary, 0.7
Hamstrings (Hamstrings): primary, 0.5
Lower back (Erector spinae): stabilizer, 0.3</t>
        </is>
      </c>
      <c r="H203" s="8" t="inlineStr">
        <is>
          <t>Bodyweight</t>
        </is>
      </c>
      <c r="I203" s="8" t="inlineStr">
        <is>
          <t>Home, Gym, Outdoors</t>
        </is>
      </c>
      <c r="J203" s="8" t="n">
        <v>1</v>
      </c>
      <c r="K203" s="8" t="inlineStr">
        <is>
          <t>9+ (kids)</t>
        </is>
      </c>
      <c r="L203" s="8" t="inlineStr">
        <is>
          <t>Standing, With support</t>
        </is>
      </c>
      <c r="M203" s="8" t="inlineStr">
        <is>
          <t>Recent surgery</t>
        </is>
      </c>
      <c r="N203" s="8" t="inlineStr">
        <is>
          <t>Hold a chair; move one straight leg back a little, squeeze your glute, keep your back still.</t>
        </is>
      </c>
      <c r="O203" s="8" t="inlineStr">
        <is>
          <t>Main work</t>
        </is>
      </c>
      <c r="P203" s="8" t="inlineStr">
        <is>
          <t>Hip: Leg behind you (partial)
Hip: Stand on one leg (partial)
Knee: Straighten with effort (hold, no movement)</t>
        </is>
      </c>
      <c r="Q203" s="9" t="n"/>
      <c r="R203" s="9" t="n"/>
    </row>
    <row r="204">
      <c r="A204" s="8" t="n">
        <v>203</v>
      </c>
      <c r="B204" s="8" t="inlineStr">
        <is>
          <t>supported_single_leg_rdl</t>
        </is>
      </c>
      <c r="C204" s="8" t="inlineStr">
        <is>
          <t>Supported single-leg hinge</t>
        </is>
      </c>
      <c r="D204" s="8" t="inlineStr">
        <is>
          <t>Can appear in a first workout</t>
        </is>
      </c>
      <c r="E204" s="8" t="inlineStr">
        <is>
          <t>missing (coming)</t>
        </is>
      </c>
      <c r="F204" s="8" t="inlineStr">
        <is>
          <t>missing (coming)</t>
        </is>
      </c>
      <c r="G204" s="8" t="inlineStr">
        <is>
          <t>Hamstrings (Hamstrings): primary, 0.7
Glutes (Gluteus maximus and medius): primary, 0.6
Lower back (Erector spinae): secondary, 0.3</t>
        </is>
      </c>
      <c r="H204" s="8" t="inlineStr">
        <is>
          <t>Bodyweight</t>
        </is>
      </c>
      <c r="I204" s="8" t="inlineStr">
        <is>
          <t>Home, Gym, Outdoors</t>
        </is>
      </c>
      <c r="J204" s="8" t="n">
        <v>2</v>
      </c>
      <c r="K204" s="8" t="inlineStr">
        <is>
          <t>9+ (kids)</t>
        </is>
      </c>
      <c r="L204" s="8" t="inlineStr">
        <is>
          <t>Standing, With support</t>
        </is>
      </c>
      <c r="M204" s="8" t="inlineStr">
        <is>
          <t>Lower back, Recent surgery</t>
        </is>
      </c>
      <c r="N204" s="8" t="inlineStr">
        <is>
          <t>Hold a chair, soft knee; hinge forward as the free leg goes back, back flat, then stand up.</t>
        </is>
      </c>
      <c r="O204" s="8" t="inlineStr">
        <is>
          <t>Main work</t>
        </is>
      </c>
      <c r="P204" s="8" t="inlineStr">
        <is>
          <t>Hip: Knee toward chest (full)
Hip: Stand on one leg (full)
Ankle: Balance and uneven ground (partial)
Knee: Straighten with effort (hold, no movement)</t>
        </is>
      </c>
      <c r="Q204" s="9" t="n"/>
      <c r="R204" s="9" t="n"/>
    </row>
    <row r="205">
      <c r="A205" s="8" t="n">
        <v>204</v>
      </c>
      <c r="B205" s="8" t="inlineStr">
        <is>
          <t>sv_cs_arms_up_arch</t>
        </is>
      </c>
      <c r="C205" s="8" t="inlineStr">
        <is>
          <t>Seated arms-up arch</t>
        </is>
      </c>
      <c r="D205" s="8" t="inlineStr">
        <is>
          <t>Can appear in a first workout</t>
        </is>
      </c>
      <c r="E205" s="8" t="inlineStr">
        <is>
          <t>missing (coming)</t>
        </is>
      </c>
      <c r="F205" s="8" t="inlineStr">
        <is>
          <t>missing (coming)</t>
        </is>
      </c>
      <c r="G205" s="8" t="inlineStr">
        <is>
          <t>Abs (Rectus abdominis): primary, 0.6
Lats (Latissimus dorsi): secondary, 0.4</t>
        </is>
      </c>
      <c r="H205" s="8" t="inlineStr">
        <is>
          <t>Bodyweight</t>
        </is>
      </c>
      <c r="I205" s="8" t="inlineStr">
        <is>
          <t>Home, Gym, Outdoors</t>
        </is>
      </c>
      <c r="J205" s="8" t="n">
        <v>1</v>
      </c>
      <c r="K205" s="8" t="inlineStr">
        <is>
          <t>9+ (kids)</t>
        </is>
      </c>
      <c r="L205" s="8" t="inlineStr">
        <is>
          <t>Standing, With support, Seated</t>
        </is>
      </c>
      <c r="M205" s="8" t="inlineStr">
        <is>
          <t>Lower back, Shoulder</t>
        </is>
      </c>
      <c r="N205" s="8" t="inlineStr">
        <is>
          <t>Interlace hands overhead, lift your chest and arch just a little, keeping your neck long.</t>
        </is>
      </c>
      <c r="O205" s="8" t="inlineStr">
        <is>
          <t>Cool-down: stretch</t>
        </is>
      </c>
      <c r="P205" s="8" t="inlineStr">
        <is>
          <t>Shoulder: Arm overhead (full)
Lower back: Arch your back (partial)</t>
        </is>
      </c>
      <c r="Q205" s="9" t="n"/>
      <c r="R205" s="9" t="n"/>
    </row>
    <row r="206">
      <c r="A206" s="8" t="n">
        <v>205</v>
      </c>
      <c r="B206" s="8" t="inlineStr">
        <is>
          <t>sv_cs_hands_behind_head_chest</t>
        </is>
      </c>
      <c r="C206" s="8" t="inlineStr">
        <is>
          <t>Chair hands-behind-head chest stretch</t>
        </is>
      </c>
      <c r="D206" s="8" t="inlineStr">
        <is>
          <t>Can appear in a first workout</t>
        </is>
      </c>
      <c r="E206" s="8" t="inlineStr">
        <is>
          <t>missing (coming)</t>
        </is>
      </c>
      <c r="F206" s="8" t="inlineStr">
        <is>
          <t>missing (coming)</t>
        </is>
      </c>
      <c r="G206" s="8" t="inlineStr">
        <is>
          <t>Upper chest (Pectoralis major · clavicular head): primary, 0.7
Front shoulders (Deltoid · front head): secondary, 0.3</t>
        </is>
      </c>
      <c r="H206" s="8" t="inlineStr">
        <is>
          <t>Bodyweight</t>
        </is>
      </c>
      <c r="I206" s="8" t="inlineStr">
        <is>
          <t>Home, Gym, Outdoors</t>
        </is>
      </c>
      <c r="J206" s="8" t="n">
        <v>1</v>
      </c>
      <c r="K206" s="8" t="inlineStr">
        <is>
          <t>9+ (kids)</t>
        </is>
      </c>
      <c r="L206" s="8" t="inlineStr">
        <is>
          <t>Standing, With support, Seated</t>
        </is>
      </c>
      <c r="M206" s="8" t="inlineStr">
        <is>
          <t>None</t>
        </is>
      </c>
      <c r="N206" s="8" t="inlineStr">
        <is>
          <t>Sit tall, rest hands lightly behind your head and open elbows wide; never pull on your head.</t>
        </is>
      </c>
      <c r="O206" s="8" t="inlineStr">
        <is>
          <t>Cool-down: stretch</t>
        </is>
      </c>
      <c r="P206" s="8" t="inlineStr">
        <is>
          <t>Shoulder: Raise arm to the side (partial)
Shoulder: Turn arm outward (partial)</t>
        </is>
      </c>
      <c r="Q206" s="9" t="n"/>
      <c r="R206" s="9" t="n"/>
    </row>
    <row r="207">
      <c r="A207" s="8" t="n">
        <v>206</v>
      </c>
      <c r="B207" s="8" t="inlineStr">
        <is>
          <t>sv_cs_palms_up_overhead</t>
        </is>
      </c>
      <c r="C207" s="8" t="inlineStr">
        <is>
          <t>Seated palms-up overhead stretch</t>
        </is>
      </c>
      <c r="D207" s="8" t="inlineStr">
        <is>
          <t>Can appear in a first workout</t>
        </is>
      </c>
      <c r="E207" s="8" t="inlineStr">
        <is>
          <t>missing (coming)</t>
        </is>
      </c>
      <c r="F207" s="8" t="inlineStr">
        <is>
          <t>missing (coming)</t>
        </is>
      </c>
      <c r="G207" s="8" t="inlineStr">
        <is>
          <t>Front shoulders (Deltoid · front head): primary, 0.7
Lats (Latissimus dorsi): secondary, 0.4</t>
        </is>
      </c>
      <c r="H207" s="8" t="inlineStr">
        <is>
          <t>Bodyweight</t>
        </is>
      </c>
      <c r="I207" s="8" t="inlineStr">
        <is>
          <t>Home, Gym, Outdoors</t>
        </is>
      </c>
      <c r="J207" s="8" t="n">
        <v>1</v>
      </c>
      <c r="K207" s="8" t="inlineStr">
        <is>
          <t>9+ (kids)</t>
        </is>
      </c>
      <c r="L207" s="8" t="inlineStr">
        <is>
          <t>Standing, With support, Seated</t>
        </is>
      </c>
      <c r="M207" s="8" t="inlineStr">
        <is>
          <t>Shoulder</t>
        </is>
      </c>
      <c r="N207" s="8" t="inlineStr">
        <is>
          <t>Interlace fingers, turn palms up and press gently toward the ceiling while your shoulders stay low.</t>
        </is>
      </c>
      <c r="O207" s="8" t="inlineStr">
        <is>
          <t>Cool-down: stretch</t>
        </is>
      </c>
      <c r="P207" s="8" t="inlineStr">
        <is>
          <t>Shoulder: Arm overhead (full)
Elbow: Straighten elbow with weight (full)</t>
        </is>
      </c>
      <c r="Q207" s="9" t="n"/>
      <c r="R207" s="9" t="n"/>
    </row>
    <row r="208">
      <c r="A208" s="8" t="n">
        <v>207</v>
      </c>
      <c r="B208" s="8" t="inlineStr">
        <is>
          <t>sv_cs_side_lean_lat</t>
        </is>
      </c>
      <c r="C208" s="8" t="inlineStr">
        <is>
          <t>Seated elbow-high side lean</t>
        </is>
      </c>
      <c r="D208" s="8" t="inlineStr">
        <is>
          <t>Can appear in a first workout</t>
        </is>
      </c>
      <c r="E208" s="8" t="inlineStr">
        <is>
          <t>missing (coming)</t>
        </is>
      </c>
      <c r="F208" s="8" t="inlineStr">
        <is>
          <t>missing (coming)</t>
        </is>
      </c>
      <c r="G208" s="8" t="inlineStr">
        <is>
          <t>Lats (Latissimus dorsi): primary, 0.7
Triceps (Triceps brachii): secondary, 0.3</t>
        </is>
      </c>
      <c r="H208" s="8" t="inlineStr">
        <is>
          <t>Bodyweight</t>
        </is>
      </c>
      <c r="I208" s="8" t="inlineStr">
        <is>
          <t>Home, Gym, Outdoors</t>
        </is>
      </c>
      <c r="J208" s="8" t="n">
        <v>1</v>
      </c>
      <c r="K208" s="8" t="inlineStr">
        <is>
          <t>9+ (kids)</t>
        </is>
      </c>
      <c r="L208" s="8" t="inlineStr">
        <is>
          <t>Standing, With support, Seated</t>
        </is>
      </c>
      <c r="M208" s="8" t="inlineStr">
        <is>
          <t>Shoulder</t>
        </is>
      </c>
      <c r="N208" s="8" t="inlineStr">
        <is>
          <t>Place one hand behind your head, point that elbow up and lean gently to the other side.</t>
        </is>
      </c>
      <c r="O208" s="8" t="inlineStr">
        <is>
          <t>Cool-down: stretch</t>
        </is>
      </c>
      <c r="P208" s="8" t="inlineStr">
        <is>
          <t>Shoulder: Arm overhead (partial)
Elbow: Bend elbow with weight (full)
Lower back: Lean to the side (partial)</t>
        </is>
      </c>
      <c r="Q208" s="9" t="n"/>
      <c r="R208" s="9" t="n"/>
    </row>
    <row r="209">
      <c r="A209" s="8" t="n">
        <v>208</v>
      </c>
      <c r="B209" s="8" t="inlineStr">
        <is>
          <t>sv_cs_side_sit_quad</t>
        </is>
      </c>
      <c r="C209" s="8" t="inlineStr">
        <is>
          <t>Chair side-sit quad stretch</t>
        </is>
      </c>
      <c r="D209" s="8" t="inlineStr">
        <is>
          <t>Can appear in a first workout</t>
        </is>
      </c>
      <c r="E209" s="8" t="inlineStr">
        <is>
          <t>missing (coming)</t>
        </is>
      </c>
      <c r="F209" s="8" t="inlineStr">
        <is>
          <t>missing (coming)</t>
        </is>
      </c>
      <c r="G209" s="8" t="inlineStr">
        <is>
          <t>Quads (Quadriceps): primary, 0.7
Hips (Hip flexors): secondary, 0.4</t>
        </is>
      </c>
      <c r="H209" s="8" t="inlineStr">
        <is>
          <t>Bodyweight</t>
        </is>
      </c>
      <c r="I209" s="8" t="inlineStr">
        <is>
          <t>Home, Gym, Outdoors</t>
        </is>
      </c>
      <c r="J209" s="8" t="n">
        <v>1</v>
      </c>
      <c r="K209" s="8" t="inlineStr">
        <is>
          <t>9+ (kids)</t>
        </is>
      </c>
      <c r="L209" s="8" t="inlineStr">
        <is>
          <t>Standing, With support, Seated</t>
        </is>
      </c>
      <c r="M209" s="8" t="inlineStr">
        <is>
          <t>Knee</t>
        </is>
      </c>
      <c r="N209" s="8" t="inlineStr">
        <is>
          <t>Sit sideways on the chair, let the outer leg bend back beside the seat and hold the chair for balance.</t>
        </is>
      </c>
      <c r="O209" s="8" t="inlineStr">
        <is>
          <t>Cool-down: stretch</t>
        </is>
      </c>
      <c r="P209" s="8" t="inlineStr">
        <is>
          <t>Knee: Bend the knee deep (full)
Hip: Leg behind you (partial)</t>
        </is>
      </c>
      <c r="Q209" s="9" t="n"/>
      <c r="R209" s="9" t="n"/>
    </row>
    <row r="210">
      <c r="A210" s="8" t="n">
        <v>209</v>
      </c>
      <c r="B210" s="8" t="inlineStr">
        <is>
          <t>sv_mo_chair_cat_cow</t>
        </is>
      </c>
      <c r="C210" s="8" t="inlineStr">
        <is>
          <t>Chair cat-cow</t>
        </is>
      </c>
      <c r="D210" s="8" t="inlineStr">
        <is>
          <t>Can appear in a first workout</t>
        </is>
      </c>
      <c r="E210" s="8" t="inlineStr">
        <is>
          <t>missing (coming)</t>
        </is>
      </c>
      <c r="F210" s="8" t="inlineStr">
        <is>
          <t>missing (coming)</t>
        </is>
      </c>
      <c r="G210" s="8" t="inlineStr">
        <is>
          <t>Lower back (Erector spinae): primary, 0.6
Upper back (Rhomboids and middle trapezius): secondary, 0.4</t>
        </is>
      </c>
      <c r="H210" s="8" t="inlineStr">
        <is>
          <t>Bodyweight</t>
        </is>
      </c>
      <c r="I210" s="8" t="inlineStr">
        <is>
          <t>Home, Gym, Outdoors</t>
        </is>
      </c>
      <c r="J210" s="8" t="n">
        <v>1</v>
      </c>
      <c r="K210" s="8" t="inlineStr">
        <is>
          <t>9+ (kids)</t>
        </is>
      </c>
      <c r="L210" s="8" t="inlineStr">
        <is>
          <t>Standing, With support, Seated</t>
        </is>
      </c>
      <c r="M210" s="8" t="inlineStr">
        <is>
          <t>None</t>
        </is>
      </c>
      <c r="N210" s="8" t="inlineStr">
        <is>
          <t>Hands on knees, slowly round your back as you exhale, then lift your chest as you inhale.</t>
        </is>
      </c>
      <c r="O210" s="8" t="inlineStr">
        <is>
          <t>Warm-up: mobility</t>
        </is>
      </c>
      <c r="P210" s="8" t="inlineStr">
        <is>
          <t>Lower back: Bend forward (partial)
Lower back: Arch your back (partial)</t>
        </is>
      </c>
      <c r="Q210" s="9" t="n"/>
      <c r="R210" s="9" t="n"/>
    </row>
    <row r="211">
      <c r="A211" s="8" t="n">
        <v>210</v>
      </c>
      <c r="B211" s="8" t="inlineStr">
        <is>
          <t>sv_mo_crossed_arm_rotations</t>
        </is>
      </c>
      <c r="C211" s="8" t="inlineStr">
        <is>
          <t>Chair crossed-arm rotations</t>
        </is>
      </c>
      <c r="D211" s="8" t="inlineStr">
        <is>
          <t>Can appear in a first workout</t>
        </is>
      </c>
      <c r="E211" s="8" t="inlineStr">
        <is>
          <t>missing (coming)</t>
        </is>
      </c>
      <c r="F211" s="8" t="inlineStr">
        <is>
          <t>missing (coming)</t>
        </is>
      </c>
      <c r="G211" s="8" t="inlineStr">
        <is>
          <t>Obliques (External and internal obliques): primary, 0.7
Upper back (Rhomboids and middle trapezius): secondary, 0.3</t>
        </is>
      </c>
      <c r="H211" s="8" t="inlineStr">
        <is>
          <t>Bodyweight</t>
        </is>
      </c>
      <c r="I211" s="8" t="inlineStr">
        <is>
          <t>Home, Gym, Outdoors</t>
        </is>
      </c>
      <c r="J211" s="8" t="n">
        <v>1</v>
      </c>
      <c r="K211" s="8" t="inlineStr">
        <is>
          <t>9+ (kids)</t>
        </is>
      </c>
      <c r="L211" s="8" t="inlineStr">
        <is>
          <t>Standing, With support, Seated</t>
        </is>
      </c>
      <c r="M211" s="8" t="inlineStr">
        <is>
          <t>None</t>
        </is>
      </c>
      <c r="N211" s="8" t="inlineStr">
        <is>
          <t>Cross arms on your chest and turn slowly side to side, keeping hips still and knees pointing forward.</t>
        </is>
      </c>
      <c r="O211" s="8" t="inlineStr">
        <is>
          <t>Warm-up: mobility</t>
        </is>
      </c>
      <c r="P211" s="8" t="inlineStr">
        <is>
          <t>Lower back: Twist (partial)
Neck: Turn your head (partial)</t>
        </is>
      </c>
      <c r="Q211" s="9" t="n"/>
      <c r="R211" s="9" t="n"/>
    </row>
    <row r="212">
      <c r="A212" s="8" t="n">
        <v>211</v>
      </c>
      <c r="B212" s="8" t="inlineStr">
        <is>
          <t>sv_seated_backrest_chest_opener</t>
        </is>
      </c>
      <c r="C212" s="8" t="inlineStr">
        <is>
          <t>Seated backrest chest opener</t>
        </is>
      </c>
      <c r="D212" s="8" t="inlineStr">
        <is>
          <t>Can appear in a first workout</t>
        </is>
      </c>
      <c r="E212" s="8" t="inlineStr">
        <is>
          <t>missing (coming)</t>
        </is>
      </c>
      <c r="F212" s="8" t="inlineStr">
        <is>
          <t>missing (coming)</t>
        </is>
      </c>
      <c r="G212" s="8" t="inlineStr">
        <is>
          <t>Mid chest (Pectoralis major · sternal head): primary, 0.8
Front shoulders (Deltoid · front head): secondary, 0.4</t>
        </is>
      </c>
      <c r="H212" s="8" t="inlineStr">
        <is>
          <t>Bodyweight</t>
        </is>
      </c>
      <c r="I212" s="8" t="inlineStr">
        <is>
          <t>Home, Gym, Outdoors</t>
        </is>
      </c>
      <c r="J212" s="8" t="n">
        <v>1</v>
      </c>
      <c r="K212" s="8" t="inlineStr">
        <is>
          <t>9+ (kids)</t>
        </is>
      </c>
      <c r="L212" s="8" t="inlineStr">
        <is>
          <t>Standing, With support, Seated</t>
        </is>
      </c>
      <c r="M212" s="8" t="inlineStr">
        <is>
          <t>Shoulder</t>
        </is>
      </c>
      <c r="N212" s="8" t="inlineStr">
        <is>
          <t>Sit tall, hold the sides of the backrest behind you and gently lift your chest until you feel a stretch.</t>
        </is>
      </c>
      <c r="O212" s="8" t="inlineStr">
        <is>
          <t>Cool-down: stretch</t>
        </is>
      </c>
      <c r="P212" s="8" t="inlineStr">
        <is>
          <t>Shoulder: Reach behind your back (partial)</t>
        </is>
      </c>
      <c r="Q212" s="9" t="n"/>
      <c r="R212" s="9" t="n"/>
    </row>
    <row r="213">
      <c r="A213" s="8" t="n">
        <v>212</v>
      </c>
      <c r="B213" s="8" t="inlineStr">
        <is>
          <t>sv_seated_hands_on_knees_lift</t>
        </is>
      </c>
      <c r="C213" s="8" t="inlineStr">
        <is>
          <t>Seated chest-lift belly stretch</t>
        </is>
      </c>
      <c r="D213" s="8" t="inlineStr">
        <is>
          <t>Can appear in a first workout</t>
        </is>
      </c>
      <c r="E213" s="8" t="inlineStr">
        <is>
          <t>missing (coming)</t>
        </is>
      </c>
      <c r="F213" s="8" t="inlineStr">
        <is>
          <t>missing (coming)</t>
        </is>
      </c>
      <c r="G213" s="8" t="inlineStr">
        <is>
          <t>Lower abs (Rectus abdominis · lower): primary, 0.7
Hips (Hip flexors): secondary, 0.3</t>
        </is>
      </c>
      <c r="H213" s="8" t="inlineStr">
        <is>
          <t>Bodyweight</t>
        </is>
      </c>
      <c r="I213" s="8" t="inlineStr">
        <is>
          <t>Home, Gym, Outdoors</t>
        </is>
      </c>
      <c r="J213" s="8" t="n">
        <v>1</v>
      </c>
      <c r="K213" s="8" t="inlineStr">
        <is>
          <t>9+ (kids)</t>
        </is>
      </c>
      <c r="L213" s="8" t="inlineStr">
        <is>
          <t>Standing, With support, Seated</t>
        </is>
      </c>
      <c r="M213" s="8" t="inlineStr">
        <is>
          <t>Lower back</t>
        </is>
      </c>
      <c r="N213" s="8" t="inlineStr">
        <is>
          <t>Hands on knees, press them gently, lift your chest and look slightly up to stretch the lower belly; breathe.</t>
        </is>
      </c>
      <c r="O213" s="8" t="inlineStr">
        <is>
          <t>Cool-down: stretch</t>
        </is>
      </c>
      <c r="P213" s="8" t="inlineStr">
        <is>
          <t>Lower back: Arch your back (partial)</t>
        </is>
      </c>
      <c r="Q213" s="9" t="n"/>
      <c r="R213" s="9" t="n"/>
    </row>
    <row r="214">
      <c r="A214" s="8" t="n">
        <v>213</v>
      </c>
      <c r="B214" s="8" t="inlineStr">
        <is>
          <t>towel_lat_pulldown</t>
        </is>
      </c>
      <c r="C214" s="8" t="inlineStr">
        <is>
          <t>Towel lat pulldown</t>
        </is>
      </c>
      <c r="D214" s="8" t="inlineStr">
        <is>
          <t>Can appear in a first workout</t>
        </is>
      </c>
      <c r="E214" s="8" t="inlineStr">
        <is>
          <t>missing (coming)</t>
        </is>
      </c>
      <c r="F214" s="8" t="inlineStr">
        <is>
          <t>missing (coming)</t>
        </is>
      </c>
      <c r="G214" s="8" t="inlineStr">
        <is>
          <t>Lats (Latissimus dorsi): primary, 0.7
Upper back (Rhomboids and middle trapezius): secondary, 0.4
Rear shoulders (Deltoid · rear head): secondary, 0.3</t>
        </is>
      </c>
      <c r="H214" s="8" t="inlineStr">
        <is>
          <t>Bodyweight</t>
        </is>
      </c>
      <c r="I214" s="8" t="inlineStr">
        <is>
          <t>Home, Gym, Outdoors</t>
        </is>
      </c>
      <c r="J214" s="8" t="n">
        <v>1</v>
      </c>
      <c r="K214" s="8" t="inlineStr">
        <is>
          <t>9+ (kids)</t>
        </is>
      </c>
      <c r="L214" s="8" t="inlineStr">
        <is>
          <t>Standing, With support, Seated</t>
        </is>
      </c>
      <c r="M214" s="8" t="inlineStr">
        <is>
          <t>Shoulder, Recent surgery</t>
        </is>
      </c>
      <c r="N214" s="8" t="inlineStr">
        <is>
          <t>Hold a towel overhead pulled tight, then draw your elbows down to your ribs while keeping it tight.</t>
        </is>
      </c>
      <c r="O214" s="8" t="inlineStr">
        <is>
          <t>Main work</t>
        </is>
      </c>
      <c r="P214" s="8" t="inlineStr">
        <is>
          <t>Shoulder: Arm overhead (full)
Shoulder: Pull (full)
Elbow: Bend elbow with weight (full)
Wrist: Grip tight (partial)</t>
        </is>
      </c>
      <c r="Q214" s="9" t="n"/>
      <c r="R214" s="9" t="n"/>
    </row>
    <row r="215">
      <c r="A215" s="8" t="n">
        <v>214</v>
      </c>
      <c r="B215" s="8" t="inlineStr">
        <is>
          <t>wide_incline_push_up</t>
        </is>
      </c>
      <c r="C215" s="8" t="inlineStr">
        <is>
          <t>Wide incline push-up</t>
        </is>
      </c>
      <c r="D215" s="8" t="inlineStr">
        <is>
          <t>Can appear in a first workout</t>
        </is>
      </c>
      <c r="E215" s="8" t="inlineStr">
        <is>
          <t>missing (coming)</t>
        </is>
      </c>
      <c r="F215" s="8" t="inlineStr">
        <is>
          <t>missing (coming)</t>
        </is>
      </c>
      <c r="G215" s="8" t="inlineStr">
        <is>
          <t>Lower chest (Pectoralis major · lower fibers): primary, 1.0
Mid chest (Pectoralis major · sternal head): secondary, 0.5
Triceps (Triceps brachii): secondary, 0.4</t>
        </is>
      </c>
      <c r="H215" s="8" t="inlineStr">
        <is>
          <t>Bodyweight</t>
        </is>
      </c>
      <c r="I215" s="8" t="inlineStr">
        <is>
          <t>Home, Gym, Outdoors</t>
        </is>
      </c>
      <c r="J215" s="8" t="n">
        <v>2</v>
      </c>
      <c r="K215" s="8" t="inlineStr">
        <is>
          <t>9+ (kids)</t>
        </is>
      </c>
      <c r="L215" s="8" t="inlineStr">
        <is>
          <t>Standing, With support</t>
        </is>
      </c>
      <c r="M215" s="8" t="inlineStr">
        <is>
          <t>Shoulder, Elbow / wrist, Recent surgery</t>
        </is>
      </c>
      <c r="N215" s="8" t="inlineStr">
        <is>
          <t>Hands a little wider than shoulders on a sturdy table; lower slowly and stop before shoulders ache.</t>
        </is>
      </c>
      <c r="O215" s="8" t="inlineStr">
        <is>
          <t>Main work</t>
        </is>
      </c>
      <c r="P215" s="8" t="inlineStr">
        <is>
          <t>Shoulder: Push (full)
Elbow: Straighten elbow with weight (full)
Wrist: Weight on your hands (full)</t>
        </is>
      </c>
      <c r="Q215" s="9" t="n"/>
      <c r="R215" s="9" t="n"/>
    </row>
    <row r="216">
      <c r="A216" s="8" t="n">
        <v>215</v>
      </c>
      <c r="B216" s="8" t="inlineStr">
        <is>
          <t>wu_ankle_rocks</t>
        </is>
      </c>
      <c r="C216" s="8" t="inlineStr">
        <is>
          <t>Knee-to-wall ankle rocks</t>
        </is>
      </c>
      <c r="D216" s="8" t="inlineStr">
        <is>
          <t>Can appear in a first workout</t>
        </is>
      </c>
      <c r="E216" s="8" t="inlineStr">
        <is>
          <t>missing (coming)</t>
        </is>
      </c>
      <c r="F216" s="8" t="inlineStr">
        <is>
          <t>missing (coming)</t>
        </is>
      </c>
      <c r="G216" s="8" t="inlineStr">
        <is>
          <t>Calves (Gastrocnemius and soleus): primary, 0.5
Shins (Tibialis anterior): secondary, 0.3
Knees (Muscles around the knee): secondary, 0.2</t>
        </is>
      </c>
      <c r="H216" s="8" t="inlineStr">
        <is>
          <t>Bodyweight</t>
        </is>
      </c>
      <c r="I216" s="8" t="inlineStr">
        <is>
          <t>Home, Gym, Outdoors</t>
        </is>
      </c>
      <c r="J216" s="8" t="n">
        <v>1</v>
      </c>
      <c r="K216" s="8" t="inlineStr">
        <is>
          <t>9+ (kids)</t>
        </is>
      </c>
      <c r="L216" s="8" t="inlineStr">
        <is>
          <t>Standing, With support</t>
        </is>
      </c>
      <c r="M216" s="8" t="inlineStr">
        <is>
          <t>None</t>
        </is>
      </c>
      <c r="N216" s="8" t="inlineStr">
        <is>
          <t>Face a wall with one foot forward and gently drive the knee toward the wall, keeping the heel down.</t>
        </is>
      </c>
      <c r="O216" s="8" t="inlineStr">
        <is>
          <t>Warm-up: mobility</t>
        </is>
      </c>
      <c r="P216" s="8" t="inlineStr">
        <is>
          <t>Ankle: Knee over toes (full)
Knee: Bend the knee deep (partial)</t>
        </is>
      </c>
      <c r="Q216" s="9" t="n"/>
      <c r="R216" s="9" t="n"/>
    </row>
    <row r="217">
      <c r="A217" s="8" t="n">
        <v>216</v>
      </c>
      <c r="B217" s="8" t="inlineStr">
        <is>
          <t>wu_arm_hug_swings</t>
        </is>
      </c>
      <c r="C217" s="8" t="inlineStr">
        <is>
          <t>Open-and-hug arm swings</t>
        </is>
      </c>
      <c r="D217" s="8" t="inlineStr">
        <is>
          <t>Can appear in a first workout</t>
        </is>
      </c>
      <c r="E217" s="8" t="inlineStr">
        <is>
          <t>missing (coming)</t>
        </is>
      </c>
      <c r="F217" s="8" t="inlineStr">
        <is>
          <t>missing (coming)</t>
        </is>
      </c>
      <c r="G217" s="8" t="inlineStr">
        <is>
          <t>Mid chest (Pectoralis major · sternal head): primary, 0.5
Rear shoulders (Deltoid · rear head): secondary, 0.4
Upper back (Rhomboids and middle trapezius): secondary, 0.4</t>
        </is>
      </c>
      <c r="H217" s="8" t="inlineStr">
        <is>
          <t>Bodyweight</t>
        </is>
      </c>
      <c r="I217" s="8" t="inlineStr">
        <is>
          <t>Home, Gym, Outdoors</t>
        </is>
      </c>
      <c r="J217" s="8" t="n">
        <v>1</v>
      </c>
      <c r="K217" s="8" t="inlineStr">
        <is>
          <t>9+ (kids)</t>
        </is>
      </c>
      <c r="L217" s="8" t="inlineStr">
        <is>
          <t>Standing, With support, Seated</t>
        </is>
      </c>
      <c r="M217" s="8" t="inlineStr">
        <is>
          <t>None</t>
        </is>
      </c>
      <c r="N217" s="8" t="inlineStr">
        <is>
          <t>Swing your arms wide open, then across your chest in a gentle hug, at a relaxed pace.</t>
        </is>
      </c>
      <c r="O217" s="8" t="inlineStr">
        <is>
          <t>Warm-up: mobility</t>
        </is>
      </c>
      <c r="P217" s="8" t="inlineStr">
        <is>
          <t>Shoulder: Raise arm to the side (full)
Shoulder: Turn arm outward (partial)</t>
        </is>
      </c>
      <c r="Q217" s="9" t="n"/>
      <c r="R217" s="9" t="n"/>
    </row>
    <row r="218">
      <c r="A218" s="8" t="n">
        <v>217</v>
      </c>
      <c r="B218" s="8" t="inlineStr">
        <is>
          <t>wu_hip_gate_openers</t>
        </is>
      </c>
      <c r="C218" s="8" t="inlineStr">
        <is>
          <t>Hip gate openers</t>
        </is>
      </c>
      <c r="D218" s="8" t="inlineStr">
        <is>
          <t>Can appear in a first workout</t>
        </is>
      </c>
      <c r="E218" s="8" t="inlineStr">
        <is>
          <t>missing (coming)</t>
        </is>
      </c>
      <c r="F218" s="8" t="inlineStr">
        <is>
          <t>missing (coming)</t>
        </is>
      </c>
      <c r="G218" s="8" t="inlineStr">
        <is>
          <t>Hips (Hip flexors): primary, 0.6
Glutes (Gluteus maximus and medius): secondary, 0.4
Inner thighs (Hip adductors): secondary, 0.3</t>
        </is>
      </c>
      <c r="H218" s="8" t="inlineStr">
        <is>
          <t>Bodyweight</t>
        </is>
      </c>
      <c r="I218" s="8" t="inlineStr">
        <is>
          <t>Home, Gym, Outdoors</t>
        </is>
      </c>
      <c r="J218" s="8" t="n">
        <v>1</v>
      </c>
      <c r="K218" s="8" t="inlineStr">
        <is>
          <t>9+ (kids)</t>
        </is>
      </c>
      <c r="L218" s="8" t="inlineStr">
        <is>
          <t>Standing, With support</t>
        </is>
      </c>
      <c r="M218" s="8" t="inlineStr">
        <is>
          <t>None</t>
        </is>
      </c>
      <c r="N218" s="8" t="inlineStr">
        <is>
          <t>Lift one knee in front, turn it out to the side and lower it; hold support if you need it.</t>
        </is>
      </c>
      <c r="O218" s="8" t="inlineStr">
        <is>
          <t>Warm-up: mobility</t>
        </is>
      </c>
      <c r="P218" s="8" t="inlineStr">
        <is>
          <t>Hip: Knee toward chest (partial)
Hip: Turn the hip (full)
Hip: Leg out to the side (partial)
Hip: Stand on one leg (partial)
Knee: Straighten with effort (hold, no movement)</t>
        </is>
      </c>
      <c r="Q218" s="9" t="n"/>
      <c r="R218" s="9" t="n"/>
    </row>
    <row r="219">
      <c r="A219" s="8" t="n">
        <v>218</v>
      </c>
      <c r="B219" s="8" t="inlineStr">
        <is>
          <t>wu_inchworm_lite</t>
        </is>
      </c>
      <c r="C219" s="8" t="inlineStr">
        <is>
          <t>Inchworm lite</t>
        </is>
      </c>
      <c r="D219" s="8" t="inlineStr">
        <is>
          <t>Can appear in a first workout</t>
        </is>
      </c>
      <c r="E219" s="8" t="inlineStr">
        <is>
          <t>missing (coming)</t>
        </is>
      </c>
      <c r="F219" s="8" t="inlineStr">
        <is>
          <t>missing (coming)</t>
        </is>
      </c>
      <c r="G219" s="8" t="inlineStr">
        <is>
          <t>Hamstrings (Hamstrings): primary, 0.5
Front shoulders (Deltoid · front head): secondary, 0.4
Abs (Rectus abdominis): secondary, 0.4</t>
        </is>
      </c>
      <c r="H219" s="8" t="inlineStr">
        <is>
          <t>Bodyweight</t>
        </is>
      </c>
      <c r="I219" s="8" t="inlineStr">
        <is>
          <t>Home, Gym, Outdoors</t>
        </is>
      </c>
      <c r="J219" s="8" t="n">
        <v>2</v>
      </c>
      <c r="K219" s="8" t="inlineStr">
        <is>
          <t>13+ (teens)</t>
        </is>
      </c>
      <c r="L219" s="8" t="inlineStr">
        <is>
          <t>Standing</t>
        </is>
      </c>
      <c r="M219" s="8" t="inlineStr">
        <is>
          <t>Elbow / wrist, Lower back, High blood pressure, Recent surgery, Pregnant / postpartum</t>
        </is>
      </c>
      <c r="N219" s="8" t="inlineStr">
        <is>
          <t>Bend your knees, walk your hands out to a high plank, walk them back and roll up slowly.</t>
        </is>
      </c>
      <c r="O219" s="8" t="inlineStr">
        <is>
          <t>Warm-up: mobility</t>
        </is>
      </c>
      <c r="P219" s="8" t="inlineStr">
        <is>
          <t>Hip: Knee toward chest (full)
Lower back: Bend forward (partial)
Wrist: Weight on your hands (full)
Shoulder: Push (partial)
Knee: Straighten with effort (hold, no movement)</t>
        </is>
      </c>
      <c r="Q219" s="9" t="n"/>
      <c r="R219" s="9" t="n"/>
    </row>
    <row r="220">
      <c r="A220" s="8" t="n">
        <v>219</v>
      </c>
      <c r="B220" s="8" t="inlineStr">
        <is>
          <t>wu_lateral_leg_swings</t>
        </is>
      </c>
      <c r="C220" s="8" t="inlineStr">
        <is>
          <t>Side-to-side leg swings</t>
        </is>
      </c>
      <c r="D220" s="8" t="inlineStr">
        <is>
          <t>Can appear in a first workout</t>
        </is>
      </c>
      <c r="E220" s="8" t="inlineStr">
        <is>
          <t>missing (coming)</t>
        </is>
      </c>
      <c r="F220" s="8" t="inlineStr">
        <is>
          <t>missing (coming)</t>
        </is>
      </c>
      <c r="G220" s="8" t="inlineStr">
        <is>
          <t>Inner thighs (Hip adductors): primary, 0.5
Hips (Hip flexors): secondary, 0.4
Glutes (Gluteus maximus and medius): secondary, 0.3</t>
        </is>
      </c>
      <c r="H220" s="8" t="inlineStr">
        <is>
          <t>Bodyweight</t>
        </is>
      </c>
      <c r="I220" s="8" t="inlineStr">
        <is>
          <t>Home, Gym, Outdoors</t>
        </is>
      </c>
      <c r="J220" s="8" t="n">
        <v>1</v>
      </c>
      <c r="K220" s="8" t="inlineStr">
        <is>
          <t>9+ (kids)</t>
        </is>
      </c>
      <c r="L220" s="8" t="inlineStr">
        <is>
          <t>Standing, With support</t>
        </is>
      </c>
      <c r="M220" s="8" t="inlineStr">
        <is>
          <t>Hip</t>
        </is>
      </c>
      <c r="N220" s="8" t="inlineStr">
        <is>
          <t>Hold a wall or chair and swing one leg gently across your body and out to the side.</t>
        </is>
      </c>
      <c r="O220" s="8" t="inlineStr">
        <is>
          <t>Warm-up: mobility</t>
        </is>
      </c>
      <c r="P220" s="8" t="inlineStr">
        <is>
          <t>Hip: Leg out to the side (full)
Hip: Leg across (full)
Ankle: Balance and uneven ground (partial)
Knee: Twist on the knee (partial)</t>
        </is>
      </c>
      <c r="Q220" s="9" t="n"/>
      <c r="R220" s="9" t="n"/>
    </row>
    <row r="221">
      <c r="A221" s="8" t="n">
        <v>220</v>
      </c>
      <c r="B221" s="8" t="inlineStr">
        <is>
          <t>wu_mini_squats</t>
        </is>
      </c>
      <c r="C221" s="8" t="inlineStr">
        <is>
          <t>Warm-up mini squats</t>
        </is>
      </c>
      <c r="D221" s="8" t="inlineStr">
        <is>
          <t>Can appear in a first workout</t>
        </is>
      </c>
      <c r="E221" s="8" t="inlineStr">
        <is>
          <t>missing (coming)</t>
        </is>
      </c>
      <c r="F221" s="8" t="inlineStr">
        <is>
          <t>missing (coming)</t>
        </is>
      </c>
      <c r="G221" s="8" t="inlineStr">
        <is>
          <t>Quads (Quadriceps): primary, 0.6
Glutes (Gluteus maximus and medius): secondary, 0.4</t>
        </is>
      </c>
      <c r="H221" s="8" t="inlineStr">
        <is>
          <t>Bodyweight</t>
        </is>
      </c>
      <c r="I221" s="8" t="inlineStr">
        <is>
          <t>Home, Gym, Outdoors</t>
        </is>
      </c>
      <c r="J221" s="8" t="n">
        <v>1</v>
      </c>
      <c r="K221" s="8" t="inlineStr">
        <is>
          <t>9+ (kids)</t>
        </is>
      </c>
      <c r="L221" s="8" t="inlineStr">
        <is>
          <t>Standing, With support</t>
        </is>
      </c>
      <c r="M221" s="8" t="inlineStr">
        <is>
          <t>None</t>
        </is>
      </c>
      <c r="N221" s="8" t="inlineStr">
        <is>
          <t>Hold support, bend your knees a little and stand back up in an easy, smooth rhythm.</t>
        </is>
      </c>
      <c r="O221" s="8" t="inlineStr">
        <is>
          <t>Warm-up: mobility</t>
        </is>
      </c>
      <c r="P221" s="8" t="inlineStr">
        <is>
          <t>Knee: Bend the knee deep (partial)
Hip: Knee toward chest (partial)
Ankle: Knee over toes (partial)</t>
        </is>
      </c>
      <c r="Q221" s="9" t="n"/>
      <c r="R221" s="9" t="n"/>
    </row>
    <row r="222">
      <c r="A222" s="8" t="n">
        <v>221</v>
      </c>
      <c r="B222" s="8" t="inlineStr">
        <is>
          <t>wu_seated_elbow_openers</t>
        </is>
      </c>
      <c r="C222" s="8" t="inlineStr">
        <is>
          <t>Seated elbow openers</t>
        </is>
      </c>
      <c r="D222" s="8" t="inlineStr">
        <is>
          <t>Can appear in a first workout</t>
        </is>
      </c>
      <c r="E222" s="8" t="inlineStr">
        <is>
          <t>missing (coming)</t>
        </is>
      </c>
      <c r="F222" s="8" t="inlineStr">
        <is>
          <t>missing (coming)</t>
        </is>
      </c>
      <c r="G222" s="8" t="inlineStr">
        <is>
          <t>Mid chest (Pectoralis major · sternal head): primary, 0.5
Rear shoulders (Deltoid · rear head): secondary, 0.4
Upper back (Rhomboids and middle trapezius): secondary, 0.4</t>
        </is>
      </c>
      <c r="H222" s="8" t="inlineStr">
        <is>
          <t>Bodyweight</t>
        </is>
      </c>
      <c r="I222" s="8" t="inlineStr">
        <is>
          <t>Home, Gym, Outdoors</t>
        </is>
      </c>
      <c r="J222" s="8" t="n">
        <v>1</v>
      </c>
      <c r="K222" s="8" t="inlineStr">
        <is>
          <t>9+ (kids)</t>
        </is>
      </c>
      <c r="L222" s="8" t="inlineStr">
        <is>
          <t>Standing, With support, Seated</t>
        </is>
      </c>
      <c r="M222" s="8" t="inlineStr">
        <is>
          <t>None</t>
        </is>
      </c>
      <c r="N222" s="8" t="inlineStr">
        <is>
          <t>With fingertips on your shoulders, bring elbows together in front, then open them wide.</t>
        </is>
      </c>
      <c r="O222" s="8" t="inlineStr">
        <is>
          <t>Warm-up: mobility</t>
        </is>
      </c>
      <c r="P222" s="8" t="inlineStr">
        <is>
          <t>Shoulder: Raise arm to the side (partial)
Shoulder: Turn arm outward (partial)</t>
        </is>
      </c>
      <c r="Q222" s="9" t="n"/>
      <c r="R222" s="9" t="n"/>
    </row>
    <row r="223">
      <c r="A223" s="8" t="n">
        <v>222</v>
      </c>
      <c r="B223" s="8" t="inlineStr">
        <is>
          <t>wu_seated_knee_extensions</t>
        </is>
      </c>
      <c r="C223" s="8" t="inlineStr">
        <is>
          <t>Seated leg kicks</t>
        </is>
      </c>
      <c r="D223" s="8" t="inlineStr">
        <is>
          <t>Can appear in a first workout</t>
        </is>
      </c>
      <c r="E223" s="8" t="inlineStr">
        <is>
          <t>missing (coming)</t>
        </is>
      </c>
      <c r="F223" s="8" t="inlineStr">
        <is>
          <t>missing (coming)</t>
        </is>
      </c>
      <c r="G223" s="8" t="inlineStr">
        <is>
          <t>Quads (Quadriceps): primary, 0.6
Knees (Muscles around the knee): secondary, 0.3</t>
        </is>
      </c>
      <c r="H223" s="8" t="inlineStr">
        <is>
          <t>Bodyweight</t>
        </is>
      </c>
      <c r="I223" s="8" t="inlineStr">
        <is>
          <t>Home, Gym, Outdoors</t>
        </is>
      </c>
      <c r="J223" s="8" t="n">
        <v>1</v>
      </c>
      <c r="K223" s="8" t="inlineStr">
        <is>
          <t>9+ (kids)</t>
        </is>
      </c>
      <c r="L223" s="8" t="inlineStr">
        <is>
          <t>Standing, With support, Seated</t>
        </is>
      </c>
      <c r="M223" s="8" t="inlineStr">
        <is>
          <t>None</t>
        </is>
      </c>
      <c r="N223" s="8" t="inlineStr">
        <is>
          <t>Sit tall and slowly straighten one knee, then lower it; alternate legs with control.</t>
        </is>
      </c>
      <c r="O223" s="8" t="inlineStr">
        <is>
          <t>Warm-up: mobility</t>
        </is>
      </c>
      <c r="P223" s="8" t="inlineStr">
        <is>
          <t>Knee: Straighten with effort (partial)</t>
        </is>
      </c>
      <c r="Q223" s="9" t="n"/>
      <c r="R223" s="9" t="n"/>
    </row>
    <row r="224">
      <c r="A224" s="8" t="n">
        <v>223</v>
      </c>
      <c r="B224" s="8" t="inlineStr">
        <is>
          <t>wu_seated_knee_lifts</t>
        </is>
      </c>
      <c r="C224" s="8" t="inlineStr">
        <is>
          <t>Seated knee lifts</t>
        </is>
      </c>
      <c r="D224" s="8" t="inlineStr">
        <is>
          <t>Can appear in a first workout</t>
        </is>
      </c>
      <c r="E224" s="8" t="inlineStr">
        <is>
          <t>missing (coming)</t>
        </is>
      </c>
      <c r="F224" s="8" t="inlineStr">
        <is>
          <t>missing (coming)</t>
        </is>
      </c>
      <c r="G224" s="8" t="inlineStr">
        <is>
          <t>Hips (Hip flexors): primary, 0.5
Quads (Quadriceps): secondary, 0.3</t>
        </is>
      </c>
      <c r="H224" s="8" t="inlineStr">
        <is>
          <t>Bodyweight</t>
        </is>
      </c>
      <c r="I224" s="8" t="inlineStr">
        <is>
          <t>Home, Gym, Outdoors</t>
        </is>
      </c>
      <c r="J224" s="8" t="n">
        <v>1</v>
      </c>
      <c r="K224" s="8" t="inlineStr">
        <is>
          <t>9+ (kids)</t>
        </is>
      </c>
      <c r="L224" s="8" t="inlineStr">
        <is>
          <t>Standing, With support, Seated</t>
        </is>
      </c>
      <c r="M224" s="8" t="inlineStr">
        <is>
          <t>None</t>
        </is>
      </c>
      <c r="N224" s="8" t="inlineStr">
        <is>
          <t>Sit tall at the front of the chair and lift one knee a little, then the other, like a slow march.</t>
        </is>
      </c>
      <c r="O224" s="8" t="inlineStr">
        <is>
          <t>Warm-up: mobility</t>
        </is>
      </c>
      <c r="P224" s="8" t="inlineStr">
        <is>
          <t>Hip: Knee toward chest (partial)
Knee: Bend the knee deep (hold, no movement)</t>
        </is>
      </c>
      <c r="Q224" s="9" t="n"/>
      <c r="R224" s="9" t="n"/>
    </row>
    <row r="225">
      <c r="A225" s="8" t="n">
        <v>224</v>
      </c>
      <c r="B225" s="8" t="inlineStr">
        <is>
          <t>wu_seated_reach_ups</t>
        </is>
      </c>
      <c r="C225" s="8" t="inlineStr">
        <is>
          <t>Seated reach-ups</t>
        </is>
      </c>
      <c r="D225" s="8" t="inlineStr">
        <is>
          <t>Can appear in a first workout</t>
        </is>
      </c>
      <c r="E225" s="8" t="inlineStr">
        <is>
          <t>missing (coming)</t>
        </is>
      </c>
      <c r="F225" s="8" t="inlineStr">
        <is>
          <t>missing (coming)</t>
        </is>
      </c>
      <c r="G225" s="8" t="inlineStr">
        <is>
          <t>Front shoulders (Deltoid · front head): primary, 0.6
Lats (Latissimus dorsi): secondary, 0.4
Obliques (External and internal obliques): secondary, 0.2</t>
        </is>
      </c>
      <c r="H225" s="8" t="inlineStr">
        <is>
          <t>Bodyweight</t>
        </is>
      </c>
      <c r="I225" s="8" t="inlineStr">
        <is>
          <t>Home, Gym, Outdoors</t>
        </is>
      </c>
      <c r="J225" s="8" t="n">
        <v>1</v>
      </c>
      <c r="K225" s="8" t="inlineStr">
        <is>
          <t>9+ (kids)</t>
        </is>
      </c>
      <c r="L225" s="8" t="inlineStr">
        <is>
          <t>Standing, With support, Seated</t>
        </is>
      </c>
      <c r="M225" s="8" t="inlineStr">
        <is>
          <t>None</t>
        </is>
      </c>
      <c r="N225" s="8" t="inlineStr">
        <is>
          <t>Sit tall and reach one arm, then the other, up toward the ceiling without shrugging.</t>
        </is>
      </c>
      <c r="O225" s="8" t="inlineStr">
        <is>
          <t>Warm-up: mobility</t>
        </is>
      </c>
      <c r="P225" s="8" t="inlineStr">
        <is>
          <t>Shoulder: Raise arm in front (full)
Shoulder: Arm overhead (partial)</t>
        </is>
      </c>
      <c r="Q225" s="9" t="n"/>
      <c r="R225" s="9" t="n"/>
    </row>
    <row r="226">
      <c r="A226" s="8" t="n">
        <v>225</v>
      </c>
      <c r="B226" s="8" t="inlineStr">
        <is>
          <t>wu_seated_shoulder_rolls</t>
        </is>
      </c>
      <c r="C226" s="8" t="inlineStr">
        <is>
          <t>Seated shoulder rolls</t>
        </is>
      </c>
      <c r="D226" s="8" t="inlineStr">
        <is>
          <t>Can appear in a first workout</t>
        </is>
      </c>
      <c r="E226" s="8" t="inlineStr">
        <is>
          <t>missing (coming)</t>
        </is>
      </c>
      <c r="F226" s="8" t="inlineStr">
        <is>
          <t>missing (coming)</t>
        </is>
      </c>
      <c r="G226" s="8" t="inlineStr">
        <is>
          <t>Traps (Trapezius): primary, 0.6
Front shoulders (Deltoid · front head): secondary, 0.4
Upper back (Rhomboids and middle trapezius): secondary, 0.3</t>
        </is>
      </c>
      <c r="H226" s="8" t="inlineStr">
        <is>
          <t>Bodyweight</t>
        </is>
      </c>
      <c r="I226" s="8" t="inlineStr">
        <is>
          <t>Home, Gym, Outdoors</t>
        </is>
      </c>
      <c r="J226" s="8" t="n">
        <v>1</v>
      </c>
      <c r="K226" s="8" t="inlineStr">
        <is>
          <t>9+ (kids)</t>
        </is>
      </c>
      <c r="L226" s="8" t="inlineStr">
        <is>
          <t>Standing, With support, Seated</t>
        </is>
      </c>
      <c r="M226" s="8" t="inlineStr">
        <is>
          <t>None</t>
        </is>
      </c>
      <c r="N226" s="8" t="inlineStr">
        <is>
          <t>Sit tall and roll your shoulders up, back and down in slow circles.</t>
        </is>
      </c>
      <c r="O226" s="8" t="inlineStr">
        <is>
          <t>Warm-up: mobility</t>
        </is>
      </c>
      <c r="P226" s="8" t="inlineStr">
        <is>
          <t>Shoulder: Raise arm in front (partial)</t>
        </is>
      </c>
      <c r="Q226" s="9" t="n"/>
      <c r="R226" s="9" t="n"/>
    </row>
    <row r="227">
      <c r="A227" s="8" t="n">
        <v>226</v>
      </c>
      <c r="B227" s="8" t="inlineStr">
        <is>
          <t>wu_seated_side_bends</t>
        </is>
      </c>
      <c r="C227" s="8" t="inlineStr">
        <is>
          <t>Seated side bends</t>
        </is>
      </c>
      <c r="D227" s="8" t="inlineStr">
        <is>
          <t>Can appear in a first workout</t>
        </is>
      </c>
      <c r="E227" s="8" t="inlineStr">
        <is>
          <t>missing (coming)</t>
        </is>
      </c>
      <c r="F227" s="8" t="inlineStr">
        <is>
          <t>missing (coming)</t>
        </is>
      </c>
      <c r="G227" s="8" t="inlineStr">
        <is>
          <t>Obliques (External and internal obliques): primary, 0.6
Lats (Latissimus dorsi): secondary, 0.3
Lower back (Erector spinae): secondary, 0.3</t>
        </is>
      </c>
      <c r="H227" s="8" t="inlineStr">
        <is>
          <t>Bodyweight</t>
        </is>
      </c>
      <c r="I227" s="8" t="inlineStr">
        <is>
          <t>Home, Gym, Outdoors</t>
        </is>
      </c>
      <c r="J227" s="8" t="n">
        <v>1</v>
      </c>
      <c r="K227" s="8" t="inlineStr">
        <is>
          <t>9+ (kids)</t>
        </is>
      </c>
      <c r="L227" s="8" t="inlineStr">
        <is>
          <t>Standing, With support, Seated</t>
        </is>
      </c>
      <c r="M227" s="8" t="inlineStr">
        <is>
          <t>None</t>
        </is>
      </c>
      <c r="N227" s="8" t="inlineStr">
        <is>
          <t>Sit tall with feet flat and slide one hand toward the floor, then the other, in a slow rhythm.</t>
        </is>
      </c>
      <c r="O227" s="8" t="inlineStr">
        <is>
          <t>Warm-up: mobility</t>
        </is>
      </c>
      <c r="P227" s="8" t="inlineStr">
        <is>
          <t>Lower back: Lean to the side (partial)</t>
        </is>
      </c>
      <c r="Q227" s="9" t="n"/>
      <c r="R227" s="9" t="n"/>
    </row>
    <row r="228">
      <c r="A228" s="8" t="n">
        <v>227</v>
      </c>
      <c r="B228" s="8" t="inlineStr">
        <is>
          <t>wu_step_jacks</t>
        </is>
      </c>
      <c r="C228" s="8" t="inlineStr">
        <is>
          <t>Low-impact step jacks</t>
        </is>
      </c>
      <c r="D228" s="8" t="inlineStr">
        <is>
          <t>Can appear in a first workout</t>
        </is>
      </c>
      <c r="E228" s="8" t="inlineStr">
        <is>
          <t>missing (coming)</t>
        </is>
      </c>
      <c r="F228" s="8" t="inlineStr">
        <is>
          <t>missing (coming)</t>
        </is>
      </c>
      <c r="G228" s="8" t="inlineStr">
        <is>
          <t>Front shoulders (Deltoid · front head): primary, 0.5
Hips (Hip flexors): secondary, 0.4
Calves (Gastrocnemius and soleus): secondary, 0.3</t>
        </is>
      </c>
      <c r="H228" s="8" t="inlineStr">
        <is>
          <t>Bodyweight</t>
        </is>
      </c>
      <c r="I228" s="8" t="inlineStr">
        <is>
          <t>Home, Gym, Outdoors</t>
        </is>
      </c>
      <c r="J228" s="8" t="n">
        <v>1</v>
      </c>
      <c r="K228" s="8" t="inlineStr">
        <is>
          <t>9+ (kids)</t>
        </is>
      </c>
      <c r="L228" s="8" t="inlineStr">
        <is>
          <t>Standing, With support</t>
        </is>
      </c>
      <c r="M228" s="8" t="inlineStr">
        <is>
          <t>Recent surgery</t>
        </is>
      </c>
      <c r="N228" s="8" t="inlineStr">
        <is>
          <t>Step one foot out as your arms rise, step back in, then switch sides; no jumping.</t>
        </is>
      </c>
      <c r="O228" s="8" t="inlineStr">
        <is>
          <t>Warm-up: easy cardio</t>
        </is>
      </c>
      <c r="P228" s="8" t="inlineStr">
        <is>
          <t>Shoulder: Raise arm to the side (full)
Shoulder: Arm overhead (partial)
Hip: Leg out to the side (partial)
Knee: Stairs (partial)</t>
        </is>
      </c>
      <c r="Q228" s="9" t="n"/>
      <c r="R228" s="9" t="n"/>
    </row>
    <row r="229">
      <c r="A229" s="8" t="n">
        <v>228</v>
      </c>
      <c r="B229" s="8" t="inlineStr">
        <is>
          <t>pendulum_swing</t>
        </is>
      </c>
      <c r="C229" s="8" t="inlineStr">
        <is>
          <t>Pendulum swing</t>
        </is>
      </c>
      <c r="D229" s="8" t="inlineStr">
        <is>
          <t>Shoulder program</t>
        </is>
      </c>
      <c r="E229" s="8" t="inlineStr">
        <is>
          <t>missing (coming)</t>
        </is>
      </c>
      <c r="F229" s="8" t="inlineStr">
        <is>
          <t>pendulum_swing.m.mp4</t>
        </is>
      </c>
      <c r="G229" s="8" t="inlineStr">
        <is>
          <t>Rotator cuff (Supraspinatus, infraspinatus, teres minor, subscapularis): primary, 0.7
Front shoulders (Deltoid · front head): secondary, 0.5</t>
        </is>
      </c>
      <c r="H229" s="8" t="inlineStr">
        <is>
          <t>Bodyweight</t>
        </is>
      </c>
      <c r="I229" s="8" t="inlineStr">
        <is>
          <t>Home, Gym, Outdoors</t>
        </is>
      </c>
      <c r="J229" s="8" t="n">
        <v>1</v>
      </c>
      <c r="K229" s="8" t="inlineStr">
        <is>
          <t>13+ (teens)</t>
        </is>
      </c>
      <c r="L229" s="8" t="inlineStr">
        <is>
          <t>Standing, With support</t>
        </is>
      </c>
      <c r="M229" s="8" t="inlineStr">
        <is>
          <t>Recent surgery</t>
        </is>
      </c>
      <c r="N229" s="8" t="inlineStr">
        <is>
          <t>Lean forward with one hand on a table and let the other arm hang loose. Move your body so the arm swings gently forward and back, then side to side, then in small circles; switch arms. Keep your back straight and knees slightly bent.</t>
        </is>
      </c>
      <c r="O229" s="8" t="inlineStr">
        <is>
          <t>Main work, Warm-up: mobility</t>
        </is>
      </c>
      <c r="P229" s="8" t="inlineStr">
        <is>
          <t>Shoulder: Raise arm in front (partial)
Shoulder: Raise arm to the side (partial)</t>
        </is>
      </c>
      <c r="Q229" s="9" t="n"/>
      <c r="R229" s="9" t="n"/>
    </row>
    <row r="230">
      <c r="A230" s="8" t="n">
        <v>229</v>
      </c>
      <c r="B230" s="8" t="inlineStr">
        <is>
          <t>stick_internal_rotation_stretch</t>
        </is>
      </c>
      <c r="C230" s="8" t="inlineStr">
        <is>
          <t>Stick internal rotation stretch</t>
        </is>
      </c>
      <c r="D230" s="8" t="inlineStr">
        <is>
          <t>Shoulder program</t>
        </is>
      </c>
      <c r="E230" s="8" t="inlineStr">
        <is>
          <t>missing (coming)</t>
        </is>
      </c>
      <c r="F230" s="8" t="inlineStr">
        <is>
          <t>stick_internal_rotation_stretch.m.mp4</t>
        </is>
      </c>
      <c r="G230" s="8" t="inlineStr">
        <is>
          <t>Rotator cuff (Supraspinatus, infraspinatus, teres minor, subscapularis): primary, 0.8
Front shoulders (Deltoid · front head): secondary, 0.4</t>
        </is>
      </c>
      <c r="H230" s="8" t="inlineStr">
        <is>
          <t>Light stick (broom handle)</t>
        </is>
      </c>
      <c r="I230" s="8" t="inlineStr">
        <is>
          <t>Home, Gym</t>
        </is>
      </c>
      <c r="J230" s="8" t="n">
        <v>1</v>
      </c>
      <c r="K230" s="8" t="inlineStr">
        <is>
          <t>13+ (teens)</t>
        </is>
      </c>
      <c r="L230" s="8" t="inlineStr">
        <is>
          <t>Standing, With support</t>
        </is>
      </c>
      <c r="M230" s="8" t="inlineStr">
        <is>
          <t>Recent surgery</t>
        </is>
      </c>
      <c r="N230" s="8" t="inlineStr">
        <is>
          <t>Hold a light stick behind your back at hip height with both hands. With the hand on your good side, pull the stick to the side until you feel a gentle, painless pull in the affected shoulder. Hold 30 s, release 30 s. Don't lean or twist your body.</t>
        </is>
      </c>
      <c r="O230" s="8" t="inlineStr">
        <is>
          <t>Main work, Cool-down: stretch</t>
        </is>
      </c>
      <c r="P230" s="8" t="inlineStr">
        <is>
          <t>Shoulder: Turn arm inward (partial)
Shoulder: Reach behind your back (partial)</t>
        </is>
      </c>
      <c r="Q230" s="9" t="n"/>
      <c r="R230" s="9" t="n"/>
    </row>
    <row r="231">
      <c r="A231" s="8" t="n">
        <v>230</v>
      </c>
      <c r="B231" s="8" t="inlineStr">
        <is>
          <t>stick_external_rotation_stretch</t>
        </is>
      </c>
      <c r="C231" s="8" t="inlineStr">
        <is>
          <t>Stick external rotation stretch</t>
        </is>
      </c>
      <c r="D231" s="8" t="inlineStr">
        <is>
          <t>Shoulder program</t>
        </is>
      </c>
      <c r="E231" s="8" t="inlineStr">
        <is>
          <t>missing (coming)</t>
        </is>
      </c>
      <c r="F231" s="8" t="inlineStr">
        <is>
          <t>missing (coming)</t>
        </is>
      </c>
      <c r="G231" s="8" t="inlineStr">
        <is>
          <t>Rotator cuff (Supraspinatus, infraspinatus, teres minor, subscapularis): primary, 0.8
Rear shoulders (Deltoid · rear head): secondary, 0.3</t>
        </is>
      </c>
      <c r="H231" s="8" t="inlineStr">
        <is>
          <t>Light stick (broom handle)</t>
        </is>
      </c>
      <c r="I231" s="8" t="inlineStr">
        <is>
          <t>Home, Gym</t>
        </is>
      </c>
      <c r="J231" s="8" t="n">
        <v>1</v>
      </c>
      <c r="K231" s="8" t="inlineStr">
        <is>
          <t>13+ (teens)</t>
        </is>
      </c>
      <c r="L231" s="8" t="inlineStr">
        <is>
          <t>Standing, With support, Seated</t>
        </is>
      </c>
      <c r="M231" s="8" t="inlineStr">
        <is>
          <t>Recent surgery</t>
        </is>
      </c>
      <c r="N231" s="8" t="inlineStr">
        <is>
          <t>Keep the elbow of the affected side against your body, bent to 90°. Hold one end of a light stick with that hand and the other end with your good hand. Push the stick toward the affected side, turning the forearm out, until you feel a gentle, painless pull. Hold 30 s, release 30 s. Keep your hips facing forward.</t>
        </is>
      </c>
      <c r="O231" s="8" t="inlineStr">
        <is>
          <t>Main work, Cool-down: stretch</t>
        </is>
      </c>
      <c r="P231" s="8" t="inlineStr">
        <is>
          <t>Shoulder: Turn arm outward (partial)</t>
        </is>
      </c>
      <c r="Q231" s="9" t="n"/>
      <c r="R231" s="9" t="n"/>
    </row>
    <row r="232">
      <c r="A232" s="8" t="n">
        <v>231</v>
      </c>
      <c r="B232" s="8" t="inlineStr">
        <is>
          <t>sleeper_stretch</t>
        </is>
      </c>
      <c r="C232" s="8" t="inlineStr">
        <is>
          <t>Sleeper stretch</t>
        </is>
      </c>
      <c r="D232" s="8" t="inlineStr">
        <is>
          <t>Shoulder program</t>
        </is>
      </c>
      <c r="E232" s="8" t="inlineStr">
        <is>
          <t>missing (coming)</t>
        </is>
      </c>
      <c r="F232" s="8" t="inlineStr">
        <is>
          <t>missing (coming)</t>
        </is>
      </c>
      <c r="G232" s="8" t="inlineStr">
        <is>
          <t>Rotator cuff (Supraspinatus, infraspinatus, teres minor, subscapularis): primary, 0.8
Rear shoulders (Deltoid · rear head): secondary, 0.5</t>
        </is>
      </c>
      <c r="H232" s="8" t="inlineStr">
        <is>
          <t>Mat</t>
        </is>
      </c>
      <c r="I232" s="8" t="inlineStr">
        <is>
          <t>Home, Gym</t>
        </is>
      </c>
      <c r="J232" s="8" t="n">
        <v>1</v>
      </c>
      <c r="K232" s="8" t="inlineStr">
        <is>
          <t>13+ (teens)</t>
        </is>
      </c>
      <c r="L232" s="8" t="inlineStr">
        <is>
          <t>With support, Standing</t>
        </is>
      </c>
      <c r="M232" s="8" t="inlineStr">
        <is>
          <t>Recent surgery</t>
        </is>
      </c>
      <c r="N232" s="8" t="inlineStr">
        <is>
          <t>Lie on the affected side with a pillow under your head. Put the bottom arm in front of you, elbow bent to 90° and hand pointing up. With the other hand, slowly push the forearm down toward the floor until you feel the stretch at the back of the shoulder. Hold 30 s, release 30 s. Push on the forearm, never the wrist, and don't bend the wrist.</t>
        </is>
      </c>
      <c r="O232" s="8" t="inlineStr">
        <is>
          <t>Main work, Cool-down: stretch</t>
        </is>
      </c>
      <c r="P232" s="8" t="inlineStr">
        <is>
          <t>Shoulder: Turn arm inward (partial)</t>
        </is>
      </c>
      <c r="Q232" s="9" t="n"/>
      <c r="R232" s="9" t="n"/>
    </row>
    <row r="233">
      <c r="A233" s="8" t="n">
        <v>232</v>
      </c>
      <c r="B233" s="8" t="inlineStr">
        <is>
          <t>band_row</t>
        </is>
      </c>
      <c r="C233" s="8" t="inlineStr">
        <is>
          <t>Band row</t>
        </is>
      </c>
      <c r="D233" s="8" t="inlineStr">
        <is>
          <t>Shoulder program</t>
        </is>
      </c>
      <c r="E233" s="8" t="inlineStr">
        <is>
          <t>missing (coming)</t>
        </is>
      </c>
      <c r="F233" s="8" t="inlineStr">
        <is>
          <t>missing (coming)</t>
        </is>
      </c>
      <c r="G233" s="8" t="inlineStr">
        <is>
          <t>Upper back (Rhomboids and middle trapezius): primary, 1.0
Lats (Latissimus dorsi): secondary, 0.5
Biceps (Biceps brachii): secondary, 0.4</t>
        </is>
      </c>
      <c r="H233" s="8" t="inlineStr">
        <is>
          <t>Long resistance bands</t>
        </is>
      </c>
      <c r="I233" s="8" t="inlineStr">
        <is>
          <t>Home, Gym, Outdoors</t>
        </is>
      </c>
      <c r="J233" s="8" t="n">
        <v>1</v>
      </c>
      <c r="K233" s="8" t="inlineStr">
        <is>
          <t>9+ (kids)</t>
        </is>
      </c>
      <c r="L233" s="8" t="inlineStr">
        <is>
          <t>Standing, With support, Seated</t>
        </is>
      </c>
      <c r="M233" s="8" t="inlineStr">
        <is>
          <t>Shoulder, Elbow / wrist, Recent surgery</t>
        </is>
      </c>
      <c r="N233" s="8" t="inlineStr">
        <is>
          <t>Pull the band to your ribs, squeezing your shoulder blades.</t>
        </is>
      </c>
      <c r="O233" s="8" t="inlineStr">
        <is>
          <t>Main work</t>
        </is>
      </c>
      <c r="P233" s="8" t="inlineStr">
        <is>
          <t>Shoulder: Pull (full)
Elbow: Bend elbow with weight (full)
Wrist: Grip tight (partial)</t>
        </is>
      </c>
      <c r="Q233" s="9" t="n"/>
      <c r="R233" s="9" t="n"/>
    </row>
    <row r="234">
      <c r="A234" s="8" t="n">
        <v>233</v>
      </c>
      <c r="B234" s="8" t="inlineStr">
        <is>
          <t>band_external_rotation_90</t>
        </is>
      </c>
      <c r="C234" s="8" t="inlineStr">
        <is>
          <t>Band external rotation with the arm at 90°</t>
        </is>
      </c>
      <c r="D234" s="8" t="inlineStr">
        <is>
          <t>Shoulder program</t>
        </is>
      </c>
      <c r="E234" s="8" t="inlineStr">
        <is>
          <t>missing (coming)</t>
        </is>
      </c>
      <c r="F234" s="8" t="inlineStr">
        <is>
          <t>missing (coming)</t>
        </is>
      </c>
      <c r="G234" s="8" t="inlineStr">
        <is>
          <t>Rotator cuff (Supraspinatus, infraspinatus, teres minor, subscapularis): primary, 0.8
Rear shoulders (Deltoid · rear head): secondary, 0.4</t>
        </is>
      </c>
      <c r="H234" s="8" t="inlineStr">
        <is>
          <t>Long resistance bands</t>
        </is>
      </c>
      <c r="I234" s="8" t="inlineStr">
        <is>
          <t>Home, Gym, Outdoors</t>
        </is>
      </c>
      <c r="J234" s="8" t="n">
        <v>2</v>
      </c>
      <c r="K234" s="8" t="inlineStr">
        <is>
          <t>13+ (teens)</t>
        </is>
      </c>
      <c r="L234" s="8" t="inlineStr">
        <is>
          <t>Standing, With support</t>
        </is>
      </c>
      <c r="M234" s="8" t="inlineStr">
        <is>
          <t>Recent surgery</t>
        </is>
      </c>
      <c r="N234" s="8" t="inlineStr">
        <is>
          <t>Anchor the band in front of you. Lift the arm out to shoulder height, elbow bent to 90° and hand pointing forward. Turn the hand up until it's in line with your head, without dropping the elbow; return slowly. Keep the elbow level with the shoulder.</t>
        </is>
      </c>
      <c r="O234" s="8" t="inlineStr">
        <is>
          <t>Main work</t>
        </is>
      </c>
      <c r="P234" s="8" t="inlineStr">
        <is>
          <t>Shoulder: Turn arm outward (partial)
Shoulder: Raise arm to the side (hold, no movement)
Wrist: Grip tight (hold, no movement)</t>
        </is>
      </c>
      <c r="Q234" s="9" t="n"/>
      <c r="R234" s="9" t="n"/>
    </row>
    <row r="235">
      <c r="A235" s="8" t="n">
        <v>234</v>
      </c>
      <c r="B235" s="8" t="inlineStr">
        <is>
          <t>band_internal_rotation</t>
        </is>
      </c>
      <c r="C235" s="8" t="inlineStr">
        <is>
          <t>Band internal rotation, elbow at your side</t>
        </is>
      </c>
      <c r="D235" s="8" t="inlineStr">
        <is>
          <t>Shoulder program</t>
        </is>
      </c>
      <c r="E235" s="8" t="inlineStr">
        <is>
          <t>missing (coming)</t>
        </is>
      </c>
      <c r="F235" s="8" t="inlineStr">
        <is>
          <t>missing (coming)</t>
        </is>
      </c>
      <c r="G235" s="8" t="inlineStr">
        <is>
          <t>Rotator cuff (Supraspinatus, infraspinatus, teres minor, subscapularis): primary, 0.8
Chest (Pectoralis major): secondary, 0.3</t>
        </is>
      </c>
      <c r="H235" s="8" t="inlineStr">
        <is>
          <t>Long resistance bands</t>
        </is>
      </c>
      <c r="I235" s="8" t="inlineStr">
        <is>
          <t>Home, Gym, Outdoors</t>
        </is>
      </c>
      <c r="J235" s="8" t="n">
        <v>1</v>
      </c>
      <c r="K235" s="8" t="inlineStr">
        <is>
          <t>13+ (teens)</t>
        </is>
      </c>
      <c r="L235" s="8" t="inlineStr">
        <is>
          <t>Standing, With support, Seated</t>
        </is>
      </c>
      <c r="M235" s="8" t="inlineStr">
        <is>
          <t>Recent surgery</t>
        </is>
      </c>
      <c r="N235" s="8" t="inlineStr">
        <is>
          <t>Anchor the band at your side, at elbow height. Keep the elbow against your body, bent to 90°. Bring the hand in across the front of your belly; return slowly. Keep pressing the elbow into your side.</t>
        </is>
      </c>
      <c r="O235" s="8" t="inlineStr">
        <is>
          <t>Main work</t>
        </is>
      </c>
      <c r="P235" s="8" t="inlineStr">
        <is>
          <t>Shoulder: Turn arm inward (partial)
Wrist: Grip tight (partial)</t>
        </is>
      </c>
      <c r="Q235" s="9" t="n"/>
      <c r="R235" s="9" t="n"/>
    </row>
    <row r="236">
      <c r="A236" s="8" t="n">
        <v>235</v>
      </c>
      <c r="B236" s="8" t="inlineStr">
        <is>
          <t>band_external_rotation</t>
        </is>
      </c>
      <c r="C236" s="8" t="inlineStr">
        <is>
          <t>Band external rotation</t>
        </is>
      </c>
      <c r="D236" s="8" t="inlineStr">
        <is>
          <t>Shoulder program</t>
        </is>
      </c>
      <c r="E236" s="8" t="inlineStr">
        <is>
          <t>missing (coming)</t>
        </is>
      </c>
      <c r="F236" s="8" t="inlineStr">
        <is>
          <t>missing (coming)</t>
        </is>
      </c>
      <c r="G236" s="8" t="inlineStr">
        <is>
          <t>Rotator cuff (Supraspinatus, infraspinatus, teres minor, subscapularis): primary, 0.8
Rear shoulders (Deltoid · rear head): secondary, 0.4
Upper back (Rhomboids and middle trapezius): secondary, 0.3</t>
        </is>
      </c>
      <c r="H236" s="8" t="inlineStr">
        <is>
          <t>Long resistance bands</t>
        </is>
      </c>
      <c r="I236" s="8" t="inlineStr">
        <is>
          <t>Home, Gym, Outdoors</t>
        </is>
      </c>
      <c r="J236" s="8" t="n">
        <v>1</v>
      </c>
      <c r="K236" s="8" t="inlineStr">
        <is>
          <t>13+ (teens)</t>
        </is>
      </c>
      <c r="L236" s="8" t="inlineStr">
        <is>
          <t>Standing, With support, Seated</t>
        </is>
      </c>
      <c r="M236" s="8" t="inlineStr">
        <is>
          <t>Recent surgery</t>
        </is>
      </c>
      <c r="N236" s="8" t="inlineStr">
        <is>
          <t>Elbow bent at your side, band in hand. Turn the forearm out slowly, only in the pain-free range.</t>
        </is>
      </c>
      <c r="O236" s="8" t="inlineStr">
        <is>
          <t>Main work</t>
        </is>
      </c>
      <c r="P236" s="8" t="inlineStr">
        <is>
          <t>Shoulder: Turn arm outward (partial)
Wrist: Grip tight (partial)</t>
        </is>
      </c>
      <c r="Q236" s="9" t="n"/>
      <c r="R236" s="9" t="n"/>
    </row>
    <row r="237">
      <c r="A237" s="8" t="n">
        <v>236</v>
      </c>
      <c r="B237" s="8" t="inlineStr">
        <is>
          <t>overhead_dumbbell_triceps_extension</t>
        </is>
      </c>
      <c r="C237" s="8" t="inlineStr">
        <is>
          <t>Overhead triceps extension</t>
        </is>
      </c>
      <c r="D237" s="8" t="inlineStr">
        <is>
          <t>Shoulder program</t>
        </is>
      </c>
      <c r="E237" s="8" t="inlineStr">
        <is>
          <t>missing (coming)</t>
        </is>
      </c>
      <c r="F237" s="8" t="inlineStr">
        <is>
          <t>missing (coming)</t>
        </is>
      </c>
      <c r="G237" s="8" t="inlineStr">
        <is>
          <t>Triceps (Triceps brachii): primary, 1.0</t>
        </is>
      </c>
      <c r="H237" s="8" t="inlineStr">
        <is>
          <t>Dumbbells</t>
        </is>
      </c>
      <c r="I237" s="8" t="inlineStr">
        <is>
          <t>Home, Gym</t>
        </is>
      </c>
      <c r="J237" s="8" t="n">
        <v>2</v>
      </c>
      <c r="K237" s="8" t="inlineStr">
        <is>
          <t>13+ (teens)</t>
        </is>
      </c>
      <c r="L237" s="8" t="inlineStr">
        <is>
          <t>Standing, Seated</t>
        </is>
      </c>
      <c r="M237" s="8" t="inlineStr">
        <is>
          <t>Shoulder, Elbow / wrist</t>
        </is>
      </c>
      <c r="N237" s="8" t="inlineStr">
        <is>
          <t>Hold a dumbbell overhead; lower behind your head and extend.</t>
        </is>
      </c>
      <c r="O237" s="8" t="inlineStr">
        <is>
          <t>Main work</t>
        </is>
      </c>
      <c r="P237" s="8" t="inlineStr">
        <is>
          <t>Shoulder: Arm overhead (full)
Elbow: Straighten elbow with weight (full)
Elbow: Bend elbow with weight (full)
Wrist: Grip tight (full)</t>
        </is>
      </c>
      <c r="Q237" s="9" t="n"/>
      <c r="R237" s="9" t="n"/>
    </row>
    <row r="238">
      <c r="A238" s="8" t="n">
        <v>237</v>
      </c>
      <c r="B238" s="8" t="inlineStr">
        <is>
          <t>kneeling_thumbs_up_raise</t>
        </is>
      </c>
      <c r="C238" s="8" t="inlineStr">
        <is>
          <t>Thumbs-up side raise on a bench</t>
        </is>
      </c>
      <c r="D238" s="8" t="inlineStr">
        <is>
          <t>Shoulder program</t>
        </is>
      </c>
      <c r="E238" s="8" t="inlineStr">
        <is>
          <t>missing (coming)</t>
        </is>
      </c>
      <c r="F238" s="8" t="inlineStr">
        <is>
          <t>missing (coming)</t>
        </is>
      </c>
      <c r="G238" s="8" t="inlineStr">
        <is>
          <t>Front shoulders (Deltoid · front head): primary, 0.7
Rear shoulders (Deltoid · rear head): primary, 0.6
Rotator cuff (Supraspinatus, infraspinatus, teres minor, subscapularis): secondary, 0.5
Traps (Trapezius): secondary, 0.4</t>
        </is>
      </c>
      <c r="H238" s="8" t="inlineStr">
        <is>
          <t>Dumbbells</t>
        </is>
      </c>
      <c r="I238" s="8" t="inlineStr">
        <is>
          <t>Home, Gym, Outdoors</t>
        </is>
      </c>
      <c r="J238" s="8" t="n">
        <v>1</v>
      </c>
      <c r="K238" s="8" t="inlineStr">
        <is>
          <t>13+ (teens)</t>
        </is>
      </c>
      <c r="L238" s="8" t="inlineStr">
        <is>
          <t>With support, Standing</t>
        </is>
      </c>
      <c r="M238" s="8" t="inlineStr">
        <is>
          <t>Recent surgery</t>
        </is>
      </c>
      <c r="N238" s="8" t="inlineStr">
        <is>
          <t>One knee and one hand on a bench or chair, back flat. Let the other arm hang holding a light dumbbell. Raise the arm out to the side to shoulder height, turning the hand until the thumb points up; lower over 5 counts. Pick a weight that makes the last reps hard but never painful.</t>
        </is>
      </c>
      <c r="O238" s="8" t="inlineStr">
        <is>
          <t>Main work</t>
        </is>
      </c>
      <c r="P238" s="8" t="inlineStr">
        <is>
          <t>Shoulder: Raise arm to the side (partial)
Wrist: Grip tight (partial)</t>
        </is>
      </c>
      <c r="Q238" s="9" t="n"/>
      <c r="R238" s="9" t="n"/>
    </row>
    <row r="239">
      <c r="A239" s="8" t="n">
        <v>238</v>
      </c>
      <c r="B239" s="8" t="inlineStr">
        <is>
          <t>prone_scapula_setting</t>
        </is>
      </c>
      <c r="C239" s="8" t="inlineStr">
        <is>
          <t>Shoulder blade setting, face down</t>
        </is>
      </c>
      <c r="D239" s="8" t="inlineStr">
        <is>
          <t>Shoulder program</t>
        </is>
      </c>
      <c r="E239" s="8" t="inlineStr">
        <is>
          <t>missing (coming)</t>
        </is>
      </c>
      <c r="F239" s="8" t="inlineStr">
        <is>
          <t>missing (coming)</t>
        </is>
      </c>
      <c r="G239" s="8" t="inlineStr">
        <is>
          <t>Upper back (Rhomboids and middle trapezius): primary, 0.7
Traps (Trapezius): secondary, 0.5</t>
        </is>
      </c>
      <c r="H239" s="8" t="inlineStr">
        <is>
          <t>Mat</t>
        </is>
      </c>
      <c r="I239" s="8" t="inlineStr">
        <is>
          <t>Home, Gym</t>
        </is>
      </c>
      <c r="J239" s="8" t="n">
        <v>1</v>
      </c>
      <c r="K239" s="8" t="inlineStr">
        <is>
          <t>13+ (teens)</t>
        </is>
      </c>
      <c r="L239" s="8" t="inlineStr">
        <is>
          <t>With support, Standing</t>
        </is>
      </c>
      <c r="M239" s="8" t="inlineStr">
        <is>
          <t>Recent surgery</t>
        </is>
      </c>
      <c r="N239" s="8" t="inlineStr">
        <is>
          <t>Lie face down with your arms by your sides (a pillow under the forehead if needed). Draw your shoulder blades together and down, ease off halfway and hold 10 s; relax and repeat. Keep your neck relaxed.</t>
        </is>
      </c>
      <c r="O239" s="8" t="inlineStr">
        <is>
          <t>Main work</t>
        </is>
      </c>
      <c r="P239" s="8" t="inlineStr">
        <is>
          <t>Shoulder: Pull (hold, no movement)</t>
        </is>
      </c>
      <c r="Q239" s="9" t="n"/>
      <c r="R239" s="9" t="n"/>
    </row>
    <row r="240">
      <c r="A240" s="8" t="n">
        <v>239</v>
      </c>
      <c r="B240" s="8" t="inlineStr">
        <is>
          <t>prone_table_scapular_retraction</t>
        </is>
      </c>
      <c r="C240" s="8" t="inlineStr">
        <is>
          <t>Shoulder blade squeeze, face down on a bed</t>
        </is>
      </c>
      <c r="D240" s="8" t="inlineStr">
        <is>
          <t>Shoulder program</t>
        </is>
      </c>
      <c r="E240" s="8" t="inlineStr">
        <is>
          <t>missing (coming)</t>
        </is>
      </c>
      <c r="F240" s="8" t="inlineStr">
        <is>
          <t>missing (coming)</t>
        </is>
      </c>
      <c r="G240" s="8" t="inlineStr">
        <is>
          <t>Upper back (Rhomboids and middle trapezius): primary, 0.8
Traps (Trapezius): secondary, 0.5</t>
        </is>
      </c>
      <c r="H240" s="8" t="inlineStr">
        <is>
          <t>Dumbbells</t>
        </is>
      </c>
      <c r="I240" s="8" t="inlineStr">
        <is>
          <t>Home, Gym, Outdoors</t>
        </is>
      </c>
      <c r="J240" s="8" t="n">
        <v>1</v>
      </c>
      <c r="K240" s="8" t="inlineStr">
        <is>
          <t>13+ (teens)</t>
        </is>
      </c>
      <c r="L240" s="8" t="inlineStr">
        <is>
          <t>With support, Standing</t>
        </is>
      </c>
      <c r="M240" s="8" t="inlineStr">
        <is>
          <t>Recent surgery</t>
        </is>
      </c>
      <c r="N240" s="8" t="inlineStr">
        <is>
          <t>Lie face down on a firm bed or table with the affected arm hanging off the edge, elbow straight. Lift the weight only by squeezing the shoulder blade toward your spine; lower slowly. Don't shrug toward your ear.</t>
        </is>
      </c>
      <c r="O240" s="8" t="inlineStr">
        <is>
          <t>Main work</t>
        </is>
      </c>
      <c r="P240" s="8" t="inlineStr">
        <is>
          <t>Shoulder: Pull (partial)
Wrist: Grip tight (partial)</t>
        </is>
      </c>
      <c r="Q240" s="9" t="n"/>
      <c r="R240" s="9" t="n"/>
    </row>
    <row r="241">
      <c r="A241" s="8" t="n">
        <v>240</v>
      </c>
      <c r="B241" s="8" t="inlineStr">
        <is>
          <t>prone_horizontal_abduction</t>
        </is>
      </c>
      <c r="C241" s="8" t="inlineStr">
        <is>
          <t>Face-down side arm raise</t>
        </is>
      </c>
      <c r="D241" s="8" t="inlineStr">
        <is>
          <t>Shoulder program</t>
        </is>
      </c>
      <c r="E241" s="8" t="inlineStr">
        <is>
          <t>missing (coming)</t>
        </is>
      </c>
      <c r="F241" s="8" t="inlineStr">
        <is>
          <t>missing (coming)</t>
        </is>
      </c>
      <c r="G241" s="8" t="inlineStr">
        <is>
          <t>Rear shoulders (Deltoid · rear head): primary, 0.8
Upper back (Rhomboids and middle trapezius): primary, 0.6
Rotator cuff (Supraspinatus, infraspinatus, teres minor, subscapularis): secondary, 0.4</t>
        </is>
      </c>
      <c r="H241" s="8" t="inlineStr">
        <is>
          <t>Dumbbells</t>
        </is>
      </c>
      <c r="I241" s="8" t="inlineStr">
        <is>
          <t>Home, Gym, Outdoors</t>
        </is>
      </c>
      <c r="J241" s="8" t="n">
        <v>1</v>
      </c>
      <c r="K241" s="8" t="inlineStr">
        <is>
          <t>13+ (teens)</t>
        </is>
      </c>
      <c r="L241" s="8" t="inlineStr">
        <is>
          <t>With support, Standing</t>
        </is>
      </c>
      <c r="M241" s="8" t="inlineStr">
        <is>
          <t>Recent surgery</t>
        </is>
      </c>
      <c r="N241" s="8" t="inlineStr">
        <is>
          <t>Lie face down on a bed or table with the affected arm hanging down. With the arm straight, raise it out to the side to eye level; lower slowly and under control.</t>
        </is>
      </c>
      <c r="O241" s="8" t="inlineStr">
        <is>
          <t>Main work</t>
        </is>
      </c>
      <c r="P241" s="8" t="inlineStr">
        <is>
          <t>Shoulder: Raise arm to the side (partial)
Wrist: Grip tight (partial)</t>
        </is>
      </c>
      <c r="Q241" s="9" t="n"/>
      <c r="R241" s="9" t="n"/>
    </row>
    <row r="242">
      <c r="A242" s="8" t="n">
        <v>241</v>
      </c>
      <c r="B242" s="8" t="inlineStr">
        <is>
          <t>supine_shoulder_rotation_90</t>
        </is>
      </c>
      <c r="C242" s="8" t="inlineStr">
        <is>
          <t>Lying shoulder rotation at 90°</t>
        </is>
      </c>
      <c r="D242" s="8" t="inlineStr">
        <is>
          <t>Shoulder program</t>
        </is>
      </c>
      <c r="E242" s="8" t="inlineStr">
        <is>
          <t>missing (coming)</t>
        </is>
      </c>
      <c r="F242" s="8" t="inlineStr">
        <is>
          <t>missing (coming)</t>
        </is>
      </c>
      <c r="G242" s="8" t="inlineStr">
        <is>
          <t>Rotator cuff (Supraspinatus, infraspinatus, teres minor, subscapularis): primary, 0.8
Rear shoulders (Deltoid · rear head): secondary, 0.3
Chest (Pectoralis major): secondary, 0.2</t>
        </is>
      </c>
      <c r="H242" s="8" t="inlineStr">
        <is>
          <t>Dumbbells, Mat</t>
        </is>
      </c>
      <c r="I242" s="8" t="inlineStr">
        <is>
          <t>Home, Gym</t>
        </is>
      </c>
      <c r="J242" s="8" t="n">
        <v>1</v>
      </c>
      <c r="K242" s="8" t="inlineStr">
        <is>
          <t>13+ (teens)</t>
        </is>
      </c>
      <c r="L242" s="8" t="inlineStr">
        <is>
          <t>With support, Standing</t>
        </is>
      </c>
      <c r="M242" s="8" t="inlineStr">
        <is>
          <t>Recent surgery</t>
        </is>
      </c>
      <c r="N242" s="8" t="inlineStr">
        <is>
          <t>Lie on your back with the arm out at shoulder height, elbow bent to 90° and fingers pointing up. Keeping the elbow on the floor, turn the forearm forward and back in an arc. If 90° hurts, lower the elbow to 45°. Pick a weight that makes the last reps hard but never painful.</t>
        </is>
      </c>
      <c r="O242" s="8" t="inlineStr">
        <is>
          <t>Main work</t>
        </is>
      </c>
      <c r="P242" s="8" t="inlineStr">
        <is>
          <t>Shoulder: Turn arm outward (partial)
Shoulder: Turn arm inward (partial)
Shoulder: Raise arm to the side (hold, no movement)
Wrist: Grip tight (partial)</t>
        </is>
      </c>
      <c r="Q242" s="9" t="n"/>
      <c r="R242" s="9" t="n"/>
    </row>
    <row r="243">
      <c r="A243" s="8" t="n">
        <v>242</v>
      </c>
      <c r="B243" s="8" t="inlineStr">
        <is>
          <t>rx_side_lying_er</t>
        </is>
      </c>
      <c r="C243" s="8" t="inlineStr">
        <is>
          <t>Side-lying external rotation</t>
        </is>
      </c>
      <c r="D243" s="8" t="inlineStr">
        <is>
          <t>Shoulder program</t>
        </is>
      </c>
      <c r="E243" s="8" t="inlineStr">
        <is>
          <t>missing (coming)</t>
        </is>
      </c>
      <c r="F243" s="8" t="inlineStr">
        <is>
          <t>missing (coming)</t>
        </is>
      </c>
      <c r="G243" s="8" t="inlineStr">
        <is>
          <t>Rotator cuff (Supraspinatus, infraspinatus, teres minor, subscapularis): primary, 0.9
Rear shoulders (Deltoid · rear head): secondary, 0.4</t>
        </is>
      </c>
      <c r="H243" s="8" t="inlineStr">
        <is>
          <t>Dumbbells</t>
        </is>
      </c>
      <c r="I243" s="8" t="inlineStr">
        <is>
          <t>Home, Gym, Outdoors</t>
        </is>
      </c>
      <c r="J243" s="8" t="n">
        <v>1</v>
      </c>
      <c r="K243" s="8" t="inlineStr">
        <is>
          <t>13+ (teens)</t>
        </is>
      </c>
      <c r="L243" s="8" t="inlineStr">
        <is>
          <t>Standing</t>
        </is>
      </c>
      <c r="M243" s="8" t="inlineStr">
        <is>
          <t>Recent surgery</t>
        </is>
      </c>
      <c r="N243" s="8" t="inlineStr">
        <is>
          <t>Lie on your side, elbow on your hip with a towel, lift a very light weight up slowly, pain-free range.</t>
        </is>
      </c>
      <c r="O243" s="8" t="inlineStr">
        <is>
          <t>Main work</t>
        </is>
      </c>
      <c r="P243" s="8" t="inlineStr">
        <is>
          <t>Shoulder: Turn arm outward (partial)
Wrist: Grip tight (partial)</t>
        </is>
      </c>
      <c r="Q243" s="9" t="n"/>
      <c r="R243" s="9" t="n"/>
    </row>
    <row r="244">
      <c r="A244" s="8" t="n">
        <v>243</v>
      </c>
      <c r="B244" s="8" t="inlineStr">
        <is>
          <t>side_lying_internal_rotation</t>
        </is>
      </c>
      <c r="C244" s="8" t="inlineStr">
        <is>
          <t>Side-lying internal rotation</t>
        </is>
      </c>
      <c r="D244" s="8" t="inlineStr">
        <is>
          <t>Shoulder program</t>
        </is>
      </c>
      <c r="E244" s="8" t="inlineStr">
        <is>
          <t>missing (coming)</t>
        </is>
      </c>
      <c r="F244" s="8" t="inlineStr">
        <is>
          <t>missing (coming)</t>
        </is>
      </c>
      <c r="G244" s="8" t="inlineStr">
        <is>
          <t>Rotator cuff (Supraspinatus, infraspinatus, teres minor, subscapularis): primary, 0.8
Chest (Pectoralis major): secondary, 0.2</t>
        </is>
      </c>
      <c r="H244" s="8" t="inlineStr">
        <is>
          <t>Dumbbells, Mat</t>
        </is>
      </c>
      <c r="I244" s="8" t="inlineStr">
        <is>
          <t>Home, Gym</t>
        </is>
      </c>
      <c r="J244" s="8" t="n">
        <v>1</v>
      </c>
      <c r="K244" s="8" t="inlineStr">
        <is>
          <t>13+ (teens)</t>
        </is>
      </c>
      <c r="L244" s="8" t="inlineStr">
        <is>
          <t>With support, Standing</t>
        </is>
      </c>
      <c r="M244" s="8" t="inlineStr">
        <is>
          <t>Recent surgery</t>
        </is>
      </c>
      <c r="N244" s="8" t="inlineStr">
        <is>
          <t>Lie on the affected side with a pillow or folded towel under your head. Keep the bottom elbow by your side, bent to 90°. Turn the forearm up toward your belly until it's vertical; lower slowly. Don't let your body roll back.</t>
        </is>
      </c>
      <c r="O244" s="8" t="inlineStr">
        <is>
          <t>Main work</t>
        </is>
      </c>
      <c r="P244" s="8" t="inlineStr">
        <is>
          <t>Shoulder: Turn arm inward (partial)
Wrist: Grip tight (partial)</t>
        </is>
      </c>
      <c r="Q244" s="9" t="n"/>
      <c r="R244" s="9" t="n"/>
    </row>
  </sheetData>
  <autoFilter ref="A1:R244"/>
  <dataValidations count="1">
    <dataValidation sqref="Q2:Q244" showDropDown="0" showInputMessage="0" showErrorMessage="0" allowBlank="1" error="Choose Approve, Adjust or Reject." prompt="Approve, or Adjust / Reject and explain in Comment." type="list">
      <formula1>"Approve,Adjust,Reject"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2026-10-04T11:33:21Z</dcterms:created>
  <dcterms:modified xsi:type="dcterms:W3CDTF">2026-10-04T11:33:22Z</dcterms:modified>
</cp:coreProperties>
</file>