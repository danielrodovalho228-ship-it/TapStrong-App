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</sheets>
  <definedNames>
    <definedName name="_xlnm._FilterDatabase" localSheetId="1" hidden="1">'Exercises'!$A$1:$L$75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TapStrong</author>
  </authors>
  <commentList>
    <comment ref="A24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18" customWidth="1" min="11" max="11"/>
    <col width="44" customWidth="1" min="12" max="12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/>
    </row>
    <row r="10">
      <c r="A10" s="3" t="inlineStr">
        <is>
          <t>How to fill it in</t>
        </is>
      </c>
    </row>
    <row r="11">
      <c r="A11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2">
      <c r="A12" s="2" t="inlineStr"/>
    </row>
    <row r="13">
      <c r="A13" s="3" t="inlineStr">
        <is>
          <t>Example (not part of the library):</t>
        </is>
      </c>
    </row>
    <row r="14">
      <c r="A14" s="4" t="inlineStr">
        <is>
          <t>ID (slug)</t>
        </is>
      </c>
      <c r="B14" s="4" t="inlineStr">
        <is>
          <t>Exercise</t>
        </is>
      </c>
      <c r="C14" s="4" t="inlineStr">
        <is>
          <t>Muscles (role, emphasis 0–1)</t>
        </is>
      </c>
      <c r="D14" s="4" t="inlineStr">
        <is>
          <t>Equipment</t>
        </is>
      </c>
      <c r="E14" s="4" t="inlineStr">
        <is>
          <t>Level (1–5)</t>
        </is>
      </c>
      <c r="F14" s="4" t="inlineStr">
        <is>
          <t>Minimum age</t>
        </is>
      </c>
      <c r="G14" s="4" t="inlineStr">
        <is>
          <t>Positions</t>
        </is>
      </c>
      <c r="H14" s="4" t="inlineStr">
        <is>
          <t>Contraindications</t>
        </is>
      </c>
      <c r="I14" s="4" t="inlineStr">
        <is>
          <t>Cues</t>
        </is>
      </c>
      <c r="J14" s="4" t="inlineStr">
        <is>
          <t>Used as</t>
        </is>
      </c>
      <c r="K14" s="4" t="inlineStr">
        <is>
          <t>Approve / Fix (Aprovado/Corrigir)</t>
        </is>
      </c>
      <c r="L14" s="4" t="inlineStr">
        <is>
          <t>Comment (Comentário)</t>
        </is>
      </c>
    </row>
    <row r="15">
      <c r="A15" s="5" t="inlineStr">
        <is>
          <t>example_squat</t>
        </is>
      </c>
      <c r="B15" s="5" t="inlineStr">
        <is>
          <t>Example squat</t>
        </is>
      </c>
      <c r="C15" s="5" t="inlineStr">
        <is>
          <t>Quads (Quadriceps): primary, 1.0
Glutes (Gluteus maximus and medius): secondary, 0.7</t>
        </is>
      </c>
      <c r="D15" s="5" t="inlineStr">
        <is>
          <t>Bodyweight</t>
        </is>
      </c>
      <c r="E15" s="5" t="n">
        <v>1</v>
      </c>
      <c r="F15" s="5" t="inlineStr">
        <is>
          <t>9+ (kids)</t>
        </is>
      </c>
      <c r="G15" s="5" t="inlineStr">
        <is>
          <t>Standing, With support</t>
        </is>
      </c>
      <c r="H15" s="5" t="inlineStr">
        <is>
          <t>Knee</t>
        </is>
      </c>
      <c r="I15" s="5" t="inlineStr">
        <is>
          <t>Sit back and down, knees over toes, then stand.</t>
        </is>
      </c>
      <c r="J15" s="5" t="inlineStr">
        <is>
          <t>Main work</t>
        </is>
      </c>
      <c r="K15" s="6" t="inlineStr">
        <is>
          <t>Fix</t>
        </is>
      </c>
      <c r="L15" s="6" t="inlineStr">
        <is>
          <t>Add adductors as secondary, 0.3. Cue: keep heels down.</t>
        </is>
      </c>
    </row>
    <row r="17">
      <c r="A17" s="7" t="inlineStr">
        <is>
          <t>Progress (updates as you fill in the Exercises tab)</t>
        </is>
      </c>
    </row>
    <row r="18">
      <c r="A18" s="8" t="inlineStr">
        <is>
          <t>Exercises</t>
        </is>
      </c>
      <c r="B18" s="7">
        <f>COUNTA(Exercises!$A$2:$A$75)</f>
        <v/>
      </c>
    </row>
    <row r="19">
      <c r="A19" s="8" t="inlineStr">
        <is>
          <t>Approved</t>
        </is>
      </c>
      <c r="B19" s="7">
        <f>COUNTIF(Exercises!$K$2:$K$75,"Approve")</f>
        <v/>
      </c>
    </row>
    <row r="20">
      <c r="A20" s="8" t="inlineStr">
        <is>
          <t>To fix</t>
        </is>
      </c>
      <c r="B20" s="7">
        <f>COUNTIF(Exercises!$K$2:$K$75,"Fix")</f>
        <v/>
      </c>
    </row>
    <row r="21">
      <c r="A21" s="8" t="inlineStr">
        <is>
          <t>Not reviewed yet</t>
        </is>
      </c>
      <c r="B21" s="7">
        <f>B18-B19-B20</f>
        <v/>
      </c>
    </row>
    <row r="23">
      <c r="A23" s="7" t="inlineStr">
        <is>
          <t>Reviewer name, credential and date</t>
        </is>
      </c>
    </row>
    <row r="24">
      <c r="A24" s="9" t="n"/>
    </row>
  </sheetData>
  <dataValidations count="1">
    <dataValidation sqref="K15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18" customWidth="1" min="11" max="11"/>
    <col width="44" customWidth="1" min="12" max="12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Approve / Fix (Aprovado/Corrigir)</t>
        </is>
      </c>
      <c r="L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6" t="n"/>
      <c r="L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6" t="n"/>
      <c r="L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6" t="n"/>
      <c r="L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6" t="n"/>
      <c r="L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6" t="n"/>
      <c r="L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6" t="n"/>
      <c r="L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None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6" t="n"/>
      <c r="L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6" t="n"/>
      <c r="L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6" t="n"/>
      <c r="L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None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6" t="n"/>
      <c r="L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6" t="n"/>
      <c r="L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6" t="n"/>
      <c r="L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6" t="n"/>
      <c r="L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6" t="n"/>
      <c r="L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6" t="n"/>
      <c r="L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6" t="n"/>
      <c r="L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6" t="n"/>
      <c r="L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6" t="n"/>
      <c r="L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6" t="n"/>
      <c r="L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6" t="n"/>
      <c r="L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None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6" t="n"/>
      <c r="L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6" t="n"/>
      <c r="L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With support,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6" t="n"/>
      <c r="L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6" t="n"/>
      <c r="L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None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6" t="n"/>
      <c r="L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None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6" t="n"/>
      <c r="L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None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6" t="n"/>
      <c r="L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Cable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6" t="n"/>
      <c r="L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Cable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None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6" t="n"/>
      <c r="L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With support,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6" t="n"/>
      <c r="L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6" t="n"/>
      <c r="L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6" t="n"/>
      <c r="L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With support,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6" t="n"/>
      <c r="L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6" t="n"/>
      <c r="L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With support,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6" t="n"/>
      <c r="L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6" t="n"/>
      <c r="L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6" t="n"/>
      <c r="L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With support,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6" t="n"/>
      <c r="L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6" t="n"/>
      <c r="L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6" t="n"/>
      <c r="L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6" t="n"/>
      <c r="L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6" t="n"/>
      <c r="L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6" t="n"/>
      <c r="L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None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6" t="n"/>
      <c r="L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6" t="n"/>
      <c r="L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6" t="n"/>
      <c r="L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None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6" t="n"/>
      <c r="L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6" t="n"/>
      <c r="L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6" t="n"/>
      <c r="L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6" t="n"/>
      <c r="L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6" t="n"/>
      <c r="L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6" t="n"/>
      <c r="L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6" t="n"/>
      <c r="L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6" t="n"/>
      <c r="L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6" t="n"/>
      <c r="L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6" t="n"/>
      <c r="L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None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6" t="n"/>
      <c r="L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6" t="n"/>
      <c r="L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None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6" t="n"/>
      <c r="L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6" t="n"/>
      <c r="L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6" t="n"/>
      <c r="L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6" t="n"/>
      <c r="L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6" t="n"/>
      <c r="L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6" t="n"/>
      <c r="L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6" t="n"/>
      <c r="L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6" t="n"/>
      <c r="L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6" t="n"/>
      <c r="L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6" t="n"/>
      <c r="L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6" t="n"/>
      <c r="L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6" t="n"/>
      <c r="L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6" t="n"/>
      <c r="L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6" t="n"/>
      <c r="L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6" t="n"/>
      <c r="L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None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6" t="n"/>
      <c r="L75" s="6" t="n"/>
    </row>
  </sheetData>
  <autoFilter ref="A1:L75"/>
  <dataValidations count="1">
    <dataValidation sqref="K2:K75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2026-09-26T12:55:09Z</dcterms:created>
  <dcterms:modified xsi:type="dcterms:W3CDTF">2026-09-26T12:55:09Z</dcterms:modified>
</cp:coreProperties>
</file>