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</sheets>
  <definedNames>
    <definedName name="_xlnm._FilterDatabase" localSheetId="1" hidden="1">'Exercises'!$A$1:$L$72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TapStrong</author>
  </authors>
  <commentList>
    <comment ref="A24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/>
    </row>
    <row r="10">
      <c r="A10" s="3" t="inlineStr">
        <is>
          <t>How to fill it in</t>
        </is>
      </c>
    </row>
    <row r="11">
      <c r="A11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2">
      <c r="A12" s="2" t="inlineStr"/>
    </row>
    <row r="13">
      <c r="A13" s="3" t="inlineStr">
        <is>
          <t>Example (not part of the library):</t>
        </is>
      </c>
    </row>
    <row r="14">
      <c r="A14" s="4" t="inlineStr">
        <is>
          <t>ID (slug)</t>
        </is>
      </c>
      <c r="B14" s="4" t="inlineStr">
        <is>
          <t>Exercise</t>
        </is>
      </c>
      <c r="C14" s="4" t="inlineStr">
        <is>
          <t>Muscles (role, emphasis 0–1)</t>
        </is>
      </c>
      <c r="D14" s="4" t="inlineStr">
        <is>
          <t>Equipment</t>
        </is>
      </c>
      <c r="E14" s="4" t="inlineStr">
        <is>
          <t>Level (1–5)</t>
        </is>
      </c>
      <c r="F14" s="4" t="inlineStr">
        <is>
          <t>Minimum age</t>
        </is>
      </c>
      <c r="G14" s="4" t="inlineStr">
        <is>
          <t>Positions</t>
        </is>
      </c>
      <c r="H14" s="4" t="inlineStr">
        <is>
          <t>Contraindications</t>
        </is>
      </c>
      <c r="I14" s="4" t="inlineStr">
        <is>
          <t>Cues</t>
        </is>
      </c>
      <c r="J14" s="4" t="inlineStr">
        <is>
          <t>Used as</t>
        </is>
      </c>
      <c r="K14" s="4" t="inlineStr">
        <is>
          <t>Approve / Fix (Aprovado/Corrigir)</t>
        </is>
      </c>
      <c r="L14" s="4" t="inlineStr">
        <is>
          <t>Comment (Comentário)</t>
        </is>
      </c>
    </row>
    <row r="15">
      <c r="A15" s="5" t="inlineStr">
        <is>
          <t>example_squat</t>
        </is>
      </c>
      <c r="B15" s="5" t="inlineStr">
        <is>
          <t>Example squat</t>
        </is>
      </c>
      <c r="C15" s="5" t="inlineStr">
        <is>
          <t>Quads (Quadriceps): primary, 1.0
Glutes (Gluteus maximus and medius): secondary, 0.7</t>
        </is>
      </c>
      <c r="D15" s="5" t="inlineStr">
        <is>
          <t>Bodyweight</t>
        </is>
      </c>
      <c r="E15" s="5" t="n">
        <v>1</v>
      </c>
      <c r="F15" s="5" t="inlineStr">
        <is>
          <t>9+ (kids)</t>
        </is>
      </c>
      <c r="G15" s="5" t="inlineStr">
        <is>
          <t>Standing, With support</t>
        </is>
      </c>
      <c r="H15" s="5" t="inlineStr">
        <is>
          <t>Knee</t>
        </is>
      </c>
      <c r="I15" s="5" t="inlineStr">
        <is>
          <t>Sit back and down, knees over toes, then stand.</t>
        </is>
      </c>
      <c r="J15" s="5" t="inlineStr">
        <is>
          <t>Main work</t>
        </is>
      </c>
      <c r="K15" s="6" t="inlineStr">
        <is>
          <t>Fix</t>
        </is>
      </c>
      <c r="L15" s="6" t="inlineStr">
        <is>
          <t>Add adductors as secondary, 0.3. Cue: keep heels down.</t>
        </is>
      </c>
    </row>
    <row r="17">
      <c r="A17" s="7" t="inlineStr">
        <is>
          <t>Progress (updates as you fill in the Exercises tab)</t>
        </is>
      </c>
    </row>
    <row r="18">
      <c r="A18" s="8" t="inlineStr">
        <is>
          <t>Exercises</t>
        </is>
      </c>
      <c r="B18" s="7">
        <f>COUNTA(Exercises!$A$2:$A$72)</f>
        <v/>
      </c>
    </row>
    <row r="19">
      <c r="A19" s="8" t="inlineStr">
        <is>
          <t>Approved</t>
        </is>
      </c>
      <c r="B19" s="7">
        <f>COUNTIF(Exercises!$K$2:$K$72,"Approve")</f>
        <v/>
      </c>
    </row>
    <row r="20">
      <c r="A20" s="8" t="inlineStr">
        <is>
          <t>To fix</t>
        </is>
      </c>
      <c r="B20" s="7">
        <f>COUNTIF(Exercises!$K$2:$K$72,"Fix")</f>
        <v/>
      </c>
    </row>
    <row r="21">
      <c r="A21" s="8" t="inlineStr">
        <is>
          <t>Not reviewed yet</t>
        </is>
      </c>
      <c r="B21" s="7">
        <f>B18-B19-B20</f>
        <v/>
      </c>
    </row>
    <row r="23">
      <c r="A23" s="7" t="inlineStr">
        <is>
          <t>Reviewer name, credential and date</t>
        </is>
      </c>
    </row>
    <row r="24">
      <c r="A24" s="9" t="n"/>
    </row>
  </sheetData>
  <dataValidations count="1">
    <dataValidation sqref="K15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18" customWidth="1" min="11" max="11"/>
    <col width="44" customWidth="1" min="12" max="12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Approve / Fix (Aprovado/Corrigir)</t>
        </is>
      </c>
      <c r="L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6" t="n"/>
      <c r="L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6" t="n"/>
      <c r="L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6" t="n"/>
      <c r="L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6" t="n"/>
      <c r="L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6" t="n"/>
      <c r="L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6" t="n"/>
      <c r="L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None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6" t="n"/>
      <c r="L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6" t="n"/>
      <c r="L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6" t="n"/>
      <c r="L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6" t="n"/>
      <c r="L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6" t="n"/>
      <c r="L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6" t="n"/>
      <c r="L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6" t="n"/>
      <c r="L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6" t="n"/>
      <c r="L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6" t="n"/>
      <c r="L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6" t="n"/>
      <c r="L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6" t="n"/>
      <c r="L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6" t="n"/>
      <c r="L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6" t="n"/>
      <c r="L20" s="6" t="n"/>
    </row>
    <row r="21">
      <c r="A21" s="5" t="inlineStr">
        <is>
          <t>dumbbell_shoulder_press</t>
        </is>
      </c>
      <c r="B21" s="5" t="inlineStr">
        <is>
          <t>Dumbbell shoulder press</t>
        </is>
      </c>
      <c r="C21" s="5" t="inlineStr">
        <is>
          <t>Front shoulders (Deltoid · front head): primary, 1.0
Triceps (Triceps brachii): secondary, 0.5
Traps (Trapezius): secondary, 0.3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Standing, With support, Seated</t>
        </is>
      </c>
      <c r="H21" s="5" t="inlineStr">
        <is>
          <t>Shoulder, Neck</t>
        </is>
      </c>
      <c r="I21" s="5" t="inlineStr">
        <is>
          <t>Press the dumbbells overhead without arching your back.</t>
        </is>
      </c>
      <c r="J21" s="5" t="inlineStr">
        <is>
          <t>Main work</t>
        </is>
      </c>
      <c r="K21" s="6" t="n"/>
      <c r="L21" s="6" t="n"/>
    </row>
    <row r="22">
      <c r="A22" s="5" t="inlineStr">
        <is>
          <t>band_front_raise</t>
        </is>
      </c>
      <c r="B22" s="5" t="inlineStr">
        <is>
          <t>Band front raise</t>
        </is>
      </c>
      <c r="C22" s="5" t="inlineStr">
        <is>
          <t>Front shoulders (Deltoid · front head): primary, 0.9</t>
        </is>
      </c>
      <c r="D22" s="5" t="inlineStr">
        <is>
          <t>Bands</t>
        </is>
      </c>
      <c r="E22" s="5" t="n">
        <v>1</v>
      </c>
      <c r="F22" s="5" t="inlineStr">
        <is>
          <t>9+ (kids)</t>
        </is>
      </c>
      <c r="G22" s="5" t="inlineStr">
        <is>
          <t>Standing, With support, Seated</t>
        </is>
      </c>
      <c r="H22" s="5" t="inlineStr">
        <is>
          <t>Shoulder</t>
        </is>
      </c>
      <c r="I22" s="5" t="inlineStr">
        <is>
          <t>Raise straight arms to shoulder height and lower slowly.</t>
        </is>
      </c>
      <c r="J22" s="5" t="inlineStr">
        <is>
          <t>Main work</t>
        </is>
      </c>
      <c r="K22" s="6" t="n"/>
      <c r="L22" s="6" t="n"/>
    </row>
    <row r="23">
      <c r="A23" s="5" t="inlineStr">
        <is>
          <t>band_face_pull</t>
        </is>
      </c>
      <c r="B23" s="5" t="inlineStr">
        <is>
          <t>Band face pull</t>
        </is>
      </c>
      <c r="C23" s="5" t="inlineStr">
        <is>
          <t>Rear shoulders (Deltoid · rear head): primary, 1.0
Upper back (Rhomboids and middle trapezius): secondary, 0.6
Traps (Trapezius): secondary, 0.3</t>
        </is>
      </c>
      <c r="D23" s="5" t="inlineStr">
        <is>
          <t>Bands</t>
        </is>
      </c>
      <c r="E23" s="5" t="n">
        <v>1</v>
      </c>
      <c r="F23" s="5" t="inlineStr">
        <is>
          <t>9+ (kids)</t>
        </is>
      </c>
      <c r="G23" s="5" t="inlineStr">
        <is>
          <t>Standing, With support, Seated</t>
        </is>
      </c>
      <c r="H23" s="5" t="inlineStr">
        <is>
          <t>None</t>
        </is>
      </c>
      <c r="I23" s="5" t="inlineStr">
        <is>
          <t>Pull the band toward your face, elbows high and out.</t>
        </is>
      </c>
      <c r="J23" s="5" t="inlineStr">
        <is>
          <t>Main work</t>
        </is>
      </c>
      <c r="K23" s="6" t="n"/>
      <c r="L23" s="6" t="n"/>
    </row>
    <row r="24">
      <c r="A24" s="5" t="inlineStr">
        <is>
          <t>one_arm_dumbbell_row</t>
        </is>
      </c>
      <c r="B24" s="5" t="inlineStr">
        <is>
          <t>One-arm dumbbell row</t>
        </is>
      </c>
      <c r="C24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4" s="5" t="inlineStr">
        <is>
          <t>Dumbbells, Bench</t>
        </is>
      </c>
      <c r="E24" s="5" t="n">
        <v>2</v>
      </c>
      <c r="F24" s="5" t="inlineStr">
        <is>
          <t>13+ (teens)</t>
        </is>
      </c>
      <c r="G24" s="5" t="inlineStr">
        <is>
          <t>Standing, With support</t>
        </is>
      </c>
      <c r="H24" s="5" t="inlineStr">
        <is>
          <t>None</t>
        </is>
      </c>
      <c r="I24" s="5" t="inlineStr">
        <is>
          <t>Hand on the bench; pull the dumbbell to your hip.</t>
        </is>
      </c>
      <c r="J24" s="5" t="inlineStr">
        <is>
          <t>Main work</t>
        </is>
      </c>
      <c r="K24" s="6" t="n"/>
      <c r="L24" s="6" t="n"/>
    </row>
    <row r="25">
      <c r="A25" s="5" t="inlineStr">
        <is>
          <t>band_row</t>
        </is>
      </c>
      <c r="B25" s="5" t="inlineStr">
        <is>
          <t>Band row</t>
        </is>
      </c>
      <c r="C25" s="5" t="inlineStr">
        <is>
          <t>Upper back (Rhomboids and middle trapezius): primary, 1.0
Lats (Latissimus dorsi): secondary, 0.5
Biceps (Biceps brachii): secondary, 0.4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None</t>
        </is>
      </c>
      <c r="I25" s="5" t="inlineStr">
        <is>
          <t>Pull the band to your ribs, squeezing your shoulder blades.</t>
        </is>
      </c>
      <c r="J25" s="5" t="inlineStr">
        <is>
          <t>Main work</t>
        </is>
      </c>
      <c r="K25" s="6" t="n"/>
      <c r="L25" s="6" t="n"/>
    </row>
    <row r="26">
      <c r="A26" s="5" t="inlineStr">
        <is>
          <t>lat_pulldown</t>
        </is>
      </c>
      <c r="B26" s="5" t="inlineStr">
        <is>
          <t>Lat pulldown</t>
        </is>
      </c>
      <c r="C26" s="5" t="inlineStr">
        <is>
          <t>Lats (Latissimus dorsi): primary, 1.0
Biceps (Biceps brachii): secondary, 0.5
Upper back (Rhomboids and middle trapezius): secondary, 0.4</t>
        </is>
      </c>
      <c r="D26" s="5" t="inlineStr">
        <is>
          <t>Cable</t>
        </is>
      </c>
      <c r="E26" s="5" t="n">
        <v>2</v>
      </c>
      <c r="F26" s="5" t="inlineStr">
        <is>
          <t>13+ (teens)</t>
        </is>
      </c>
      <c r="G26" s="5" t="inlineStr">
        <is>
          <t>Standing, With support, Seated</t>
        </is>
      </c>
      <c r="H26" s="5" t="inlineStr">
        <is>
          <t>Shoulder</t>
        </is>
      </c>
      <c r="I26" s="5" t="inlineStr">
        <is>
          <t>Pull the bar to your upper chest, chest up.</t>
        </is>
      </c>
      <c r="J26" s="5" t="inlineStr">
        <is>
          <t>Main work</t>
        </is>
      </c>
      <c r="K26" s="6" t="n"/>
      <c r="L26" s="6" t="n"/>
    </row>
    <row r="27">
      <c r="A27" s="5" t="inlineStr">
        <is>
          <t>seated_cable_row</t>
        </is>
      </c>
      <c r="B27" s="5" t="inlineStr">
        <is>
          <t>Seated cable row</t>
        </is>
      </c>
      <c r="C27" s="5" t="inlineStr">
        <is>
          <t>Upper back (Rhomboids and middle trapezius): primary, 1.0
Lats (Latissimus dorsi): secondary, 0.6
Biceps (Biceps brachii): secondary, 0.4</t>
        </is>
      </c>
      <c r="D27" s="5" t="inlineStr">
        <is>
          <t>Cable</t>
        </is>
      </c>
      <c r="E27" s="5" t="n">
        <v>1</v>
      </c>
      <c r="F27" s="5" t="inlineStr">
        <is>
          <t>13+ (teens)</t>
        </is>
      </c>
      <c r="G27" s="5" t="inlineStr">
        <is>
          <t>Standing, With support, Seated</t>
        </is>
      </c>
      <c r="H27" s="5" t="inlineStr">
        <is>
          <t>None</t>
        </is>
      </c>
      <c r="I27" s="5" t="inlineStr">
        <is>
          <t>Sit tall and pull the handle to your belly.</t>
        </is>
      </c>
      <c r="J27" s="5" t="inlineStr">
        <is>
          <t>Main work</t>
        </is>
      </c>
      <c r="K27" s="6" t="n"/>
      <c r="L27" s="6" t="n"/>
    </row>
    <row r="28">
      <c r="A28" s="5" t="inlineStr">
        <is>
          <t>dumbbell_shrug</t>
        </is>
      </c>
      <c r="B28" s="5" t="inlineStr">
        <is>
          <t>Dumbbell shrug</t>
        </is>
      </c>
      <c r="C28" s="5" t="inlineStr">
        <is>
          <t>Traps (Trapezius): primary, 1.0
Forearms (Wrist flexors and extensors): stabilizer, 0.3</t>
        </is>
      </c>
      <c r="D28" s="5" t="inlineStr">
        <is>
          <t>Dumbbells</t>
        </is>
      </c>
      <c r="E28" s="5" t="n">
        <v>1</v>
      </c>
      <c r="F28" s="5" t="inlineStr">
        <is>
          <t>13+ (teens)</t>
        </is>
      </c>
      <c r="G28" s="5" t="inlineStr">
        <is>
          <t>Standing, With support, Seated</t>
        </is>
      </c>
      <c r="H28" s="5" t="inlineStr">
        <is>
          <t>Neck</t>
        </is>
      </c>
      <c r="I28" s="5" t="inlineStr">
        <is>
          <t>Lift your shoulders toward your ears, pause, lower.</t>
        </is>
      </c>
      <c r="J28" s="5" t="inlineStr">
        <is>
          <t>Main work</t>
        </is>
      </c>
      <c r="K28" s="6" t="n"/>
      <c r="L28" s="6" t="n"/>
    </row>
    <row r="29">
      <c r="A29" s="5" t="inlineStr">
        <is>
          <t>superman</t>
        </is>
      </c>
      <c r="B29" s="5" t="inlineStr">
        <is>
          <t>Superman</t>
        </is>
      </c>
      <c r="C29" s="5" t="inlineStr">
        <is>
          <t>Lower back (Erector spinae): primary, 1.0
Glutes (Gluteus maximus and medius): secondary, 0.5</t>
        </is>
      </c>
      <c r="D29" s="5" t="inlineStr">
        <is>
          <t>Bodyweight</t>
        </is>
      </c>
      <c r="E29" s="5" t="n">
        <v>1</v>
      </c>
      <c r="F29" s="5" t="inlineStr">
        <is>
          <t>9+ (kids)</t>
        </is>
      </c>
      <c r="G29" s="5" t="inlineStr">
        <is>
          <t>Standing</t>
        </is>
      </c>
      <c r="H29" s="5" t="inlineStr">
        <is>
          <t>Lower back, Pregnant / postpartum, Recent surgery</t>
        </is>
      </c>
      <c r="I29" s="5" t="inlineStr">
        <is>
          <t>Lying face down, lift arms and legs a little, then lower.</t>
        </is>
      </c>
      <c r="J29" s="5" t="inlineStr">
        <is>
          <t>Main work</t>
        </is>
      </c>
      <c r="K29" s="6" t="n"/>
      <c r="L29" s="6" t="n"/>
    </row>
    <row r="30">
      <c r="A30" s="5" t="inlineStr">
        <is>
          <t>bird_dog</t>
        </is>
      </c>
      <c r="B30" s="5" t="inlineStr">
        <is>
          <t>Bird dog</t>
        </is>
      </c>
      <c r="C30" s="5" t="inlineStr">
        <is>
          <t>Lower back (Erector spinae): primary, 0.8
Glutes (Gluteus maximus and medius): secondary, 0.5
Lower abs (Rectus abdominis · lower): stabilizer, 0.4</t>
        </is>
      </c>
      <c r="D30" s="5" t="inlineStr">
        <is>
          <t>Bodyweight</t>
        </is>
      </c>
      <c r="E30" s="5" t="n">
        <v>1</v>
      </c>
      <c r="F30" s="5" t="inlineStr">
        <is>
          <t>9+ (kids)</t>
        </is>
      </c>
      <c r="G30" s="5" t="inlineStr">
        <is>
          <t>Standing</t>
        </is>
      </c>
      <c r="H30" s="5" t="inlineStr">
        <is>
          <t>Recent surgery</t>
        </is>
      </c>
      <c r="I30" s="5" t="inlineStr">
        <is>
          <t>On hands and knees, reach one arm and the opposite leg long.</t>
        </is>
      </c>
      <c r="J30" s="5" t="inlineStr">
        <is>
          <t>Main work</t>
        </is>
      </c>
      <c r="K30" s="6" t="n"/>
      <c r="L30" s="6" t="n"/>
    </row>
    <row r="31">
      <c r="A31" s="5" t="inlineStr">
        <is>
          <t>dumbbell_curl</t>
        </is>
      </c>
      <c r="B31" s="5" t="inlineStr">
        <is>
          <t>Dumbbell curl</t>
        </is>
      </c>
      <c r="C31" s="5" t="inlineStr">
        <is>
          <t>Biceps (Biceps brachii): primary, 1.0
Forearms (Wrist flexors and extensors): secondary,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Elbow / wrist</t>
        </is>
      </c>
      <c r="I31" s="5" t="inlineStr">
        <is>
          <t>Elbows by your sides; curl up and lower slowly.</t>
        </is>
      </c>
      <c r="J31" s="5" t="inlineStr">
        <is>
          <t>Main work</t>
        </is>
      </c>
      <c r="K31" s="6" t="n"/>
      <c r="L31" s="6" t="n"/>
    </row>
    <row r="32">
      <c r="A32" s="5" t="inlineStr">
        <is>
          <t>band_curl</t>
        </is>
      </c>
      <c r="B32" s="5" t="inlineStr">
        <is>
          <t>Band curl</t>
        </is>
      </c>
      <c r="C32" s="5" t="inlineStr">
        <is>
          <t>Biceps (Biceps brachii): primary, 0.9
Forearms (Wrist flexors and extensors): secondary, 0.3</t>
        </is>
      </c>
      <c r="D32" s="5" t="inlineStr">
        <is>
          <t>Bands</t>
        </is>
      </c>
      <c r="E32" s="5" t="n">
        <v>1</v>
      </c>
      <c r="F32" s="5" t="inlineStr">
        <is>
          <t>9+ (kids)</t>
        </is>
      </c>
      <c r="G32" s="5" t="inlineStr">
        <is>
          <t>Standing, With support, Seated</t>
        </is>
      </c>
      <c r="H32" s="5" t="inlineStr">
        <is>
          <t>Elbow / wrist</t>
        </is>
      </c>
      <c r="I32" s="5" t="inlineStr">
        <is>
          <t>Stand on the band and curl your hands to your shoulders.</t>
        </is>
      </c>
      <c r="J32" s="5" t="inlineStr">
        <is>
          <t>Main work</t>
        </is>
      </c>
      <c r="K32" s="6" t="n"/>
      <c r="L32" s="6" t="n"/>
    </row>
    <row r="33">
      <c r="A33" s="5" t="inlineStr">
        <is>
          <t>overhead_dumbbell_triceps_extension</t>
        </is>
      </c>
      <c r="B33" s="5" t="inlineStr">
        <is>
          <t>Overhead triceps extension</t>
        </is>
      </c>
      <c r="C33" s="5" t="inlineStr">
        <is>
          <t>Triceps (Triceps brachii): primary, 1.0</t>
        </is>
      </c>
      <c r="D33" s="5" t="inlineStr">
        <is>
          <t>Dumbbells</t>
        </is>
      </c>
      <c r="E33" s="5" t="n">
        <v>2</v>
      </c>
      <c r="F33" s="5" t="inlineStr">
        <is>
          <t>13+ (teens)</t>
        </is>
      </c>
      <c r="G33" s="5" t="inlineStr">
        <is>
          <t>Standing, With support, Seated</t>
        </is>
      </c>
      <c r="H33" s="5" t="inlineStr">
        <is>
          <t>Shoulder, Elbow / wrist</t>
        </is>
      </c>
      <c r="I33" s="5" t="inlineStr">
        <is>
          <t>Hold a dumbbell overhead; lower behind your head and extend.</t>
        </is>
      </c>
      <c r="J33" s="5" t="inlineStr">
        <is>
          <t>Main work</t>
        </is>
      </c>
      <c r="K33" s="6" t="n"/>
      <c r="L33" s="6" t="n"/>
    </row>
    <row r="34">
      <c r="A34" s="5" t="inlineStr">
        <is>
          <t>bench_dip</t>
        </is>
      </c>
      <c r="B34" s="5" t="inlineStr">
        <is>
          <t>Bench dip</t>
        </is>
      </c>
      <c r="C34" s="5" t="inlineStr">
        <is>
          <t>Triceps (Triceps brachii): primary, 1.0
Lower chest (Pectoralis major · lower fibers): secondary, 0.4
Front shoulders (Deltoid · front head): secondary, 0.3</t>
        </is>
      </c>
      <c r="D34" s="5" t="inlineStr">
        <is>
          <t>Bench</t>
        </is>
      </c>
      <c r="E34" s="5" t="n">
        <v>2</v>
      </c>
      <c r="F34" s="5" t="inlineStr">
        <is>
          <t>13+ (teens)</t>
        </is>
      </c>
      <c r="G34" s="5" t="inlineStr">
        <is>
          <t>Standing</t>
        </is>
      </c>
      <c r="H34" s="5" t="inlineStr">
        <is>
          <t>Shoulder, Elbow / wrist</t>
        </is>
      </c>
      <c r="I34" s="5" t="inlineStr">
        <is>
          <t>Hands on the bench behind you; bend your elbows and press up.</t>
        </is>
      </c>
      <c r="J34" s="5" t="inlineStr">
        <is>
          <t>Main work</t>
        </is>
      </c>
      <c r="K34" s="6" t="n"/>
      <c r="L34" s="6" t="n"/>
    </row>
    <row r="35">
      <c r="A35" s="5" t="inlineStr">
        <is>
          <t>band_triceps_pushdown</t>
        </is>
      </c>
      <c r="B35" s="5" t="inlineStr">
        <is>
          <t>Band triceps pushdown</t>
        </is>
      </c>
      <c r="C35" s="5" t="inlineStr">
        <is>
          <t>Triceps (Triceps brachii): primary, 0.9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Elbows fixed at your sides; push the band down.</t>
        </is>
      </c>
      <c r="J35" s="5" t="inlineStr">
        <is>
          <t>Main work</t>
        </is>
      </c>
      <c r="K35" s="6" t="n"/>
      <c r="L35" s="6" t="n"/>
    </row>
    <row r="36">
      <c r="A36" s="5" t="inlineStr">
        <is>
          <t>dumbbell_wrist_curl</t>
        </is>
      </c>
      <c r="B36" s="5" t="inlineStr">
        <is>
          <t>Dumbbell wrist curl</t>
        </is>
      </c>
      <c r="C36" s="5" t="inlineStr">
        <is>
          <t>Forearms (Wrist flexors and extensors): primary, 1.0</t>
        </is>
      </c>
      <c r="D36" s="5" t="inlineStr">
        <is>
          <t>Dumbbells</t>
        </is>
      </c>
      <c r="E36" s="5" t="n">
        <v>1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Elbow / wrist</t>
        </is>
      </c>
      <c r="I36" s="5" t="inlineStr">
        <is>
          <t>Forearms on your thighs; curl the dumbbells with your wrists.</t>
        </is>
      </c>
      <c r="J36" s="5" t="inlineStr">
        <is>
          <t>Main work</t>
        </is>
      </c>
      <c r="K36" s="6" t="n"/>
      <c r="L36" s="6" t="n"/>
    </row>
    <row r="37">
      <c r="A37" s="5" t="inlineStr">
        <is>
          <t>plank</t>
        </is>
      </c>
      <c r="B37" s="5" t="inlineStr">
        <is>
          <t>Plank</t>
        </is>
      </c>
      <c r="C37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37" s="5" t="inlineStr">
        <is>
          <t>Bodyweight</t>
        </is>
      </c>
      <c r="E37" s="5" t="n">
        <v>2</v>
      </c>
      <c r="F37" s="5" t="inlineStr">
        <is>
          <t>9+ (kids)</t>
        </is>
      </c>
      <c r="G37" s="5" t="inlineStr">
        <is>
          <t>Standing</t>
        </is>
      </c>
      <c r="H37" s="5" t="inlineStr">
        <is>
          <t>Shoulder, Recent surgery, High blood pressure</t>
        </is>
      </c>
      <c r="I37" s="5" t="inlineStr">
        <is>
          <t>Elbows under shoulders, body in a straight line. Breathe.</t>
        </is>
      </c>
      <c r="J37" s="5" t="inlineStr">
        <is>
          <t>Main work</t>
        </is>
      </c>
      <c r="K37" s="6" t="n"/>
      <c r="L37" s="6" t="n"/>
    </row>
    <row r="38">
      <c r="A38" s="5" t="inlineStr">
        <is>
          <t>dead_bug</t>
        </is>
      </c>
      <c r="B38" s="5" t="inlineStr">
        <is>
          <t>Dead bug</t>
        </is>
      </c>
      <c r="C38" s="5" t="inlineStr">
        <is>
          <t>Lower abs (Rectus abdominis · lower): primary, 1.0
Upper abs (Rectus abdominis · upper): secondary, 0.5</t>
        </is>
      </c>
      <c r="D38" s="5" t="inlineStr">
        <is>
          <t>Bodyweight</t>
        </is>
      </c>
      <c r="E38" s="5" t="n">
        <v>1</v>
      </c>
      <c r="F38" s="5" t="inlineStr">
        <is>
          <t>9+ (kids)</t>
        </is>
      </c>
      <c r="G38" s="5" t="inlineStr">
        <is>
          <t>Standing</t>
        </is>
      </c>
      <c r="H38" s="5" t="inlineStr">
        <is>
          <t>Pregnant / postpartum, Recent surgery</t>
        </is>
      </c>
      <c r="I38" s="5" t="inlineStr">
        <is>
          <t>On your back, lower the opposite arm and leg, low back down.</t>
        </is>
      </c>
      <c r="J38" s="5" t="inlineStr">
        <is>
          <t>Main work</t>
        </is>
      </c>
      <c r="K38" s="6" t="n"/>
      <c r="L38" s="6" t="n"/>
    </row>
    <row r="39">
      <c r="A39" s="5" t="inlineStr">
        <is>
          <t>crunch</t>
        </is>
      </c>
      <c r="B39" s="5" t="inlineStr">
        <is>
          <t>Crunch</t>
        </is>
      </c>
      <c r="C39" s="5" t="inlineStr">
        <is>
          <t>Upper abs (Rectus abdominis · upper): primary, 1.0
Lower abs (Rectus abdominis · lower): secondary, 0.4</t>
        </is>
      </c>
      <c r="D39" s="5" t="inlineStr">
        <is>
          <t>Bodyweight</t>
        </is>
      </c>
      <c r="E39" s="5" t="n">
        <v>1</v>
      </c>
      <c r="F39" s="5" t="inlineStr">
        <is>
          <t>9+ (kids)</t>
        </is>
      </c>
      <c r="G39" s="5" t="inlineStr">
        <is>
          <t>Standing</t>
        </is>
      </c>
      <c r="H39" s="5" t="inlineStr">
        <is>
          <t>Neck, Pregnant / postpartum, Recent surgery, Osteoporosis</t>
        </is>
      </c>
      <c r="I39" s="5" t="inlineStr">
        <is>
          <t>Knees bent; curl your shoulders off the floor, then lower.</t>
        </is>
      </c>
      <c r="J39" s="5" t="inlineStr">
        <is>
          <t>Main work</t>
        </is>
      </c>
      <c r="K39" s="6" t="n"/>
      <c r="L39" s="6" t="n"/>
    </row>
    <row r="40">
      <c r="A40" s="5" t="inlineStr">
        <is>
          <t>reverse_crunch</t>
        </is>
      </c>
      <c r="B40" s="5" t="inlineStr">
        <is>
          <t>Reverse crunch</t>
        </is>
      </c>
      <c r="C40" s="5" t="inlineStr">
        <is>
          <t>Lower abs (Rectus abdominis · lower): primary, 1.0
Upper abs (Rectus abdominis · upper): secondary,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Lower back, Pregnant / postpartum, Recent surgery</t>
        </is>
      </c>
      <c r="I40" s="5" t="inlineStr">
        <is>
          <t>On your back, curl your knees toward your chest.</t>
        </is>
      </c>
      <c r="J40" s="5" t="inlineStr">
        <is>
          <t>Main work</t>
        </is>
      </c>
      <c r="K40" s="6" t="n"/>
      <c r="L40" s="6" t="n"/>
    </row>
    <row r="41">
      <c r="A41" s="5" t="inlineStr">
        <is>
          <t>side_plank</t>
        </is>
      </c>
      <c r="B41" s="5" t="inlineStr">
        <is>
          <t>Side plank</t>
        </is>
      </c>
      <c r="C41" s="5" t="inlineStr">
        <is>
          <t>Obliques (External and internal obliques): primary, 1.0
Lower abs (Rectus abdominis · lower): secondary, 0.3
Hips (Hip flexors): secondary, 0.3</t>
        </is>
      </c>
      <c r="D41" s="5" t="inlineStr">
        <is>
          <t>Bodyweight</t>
        </is>
      </c>
      <c r="E41" s="5" t="n">
        <v>2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Shoulder, Recent surgery</t>
        </is>
      </c>
      <c r="I41" s="5" t="inlineStr">
        <is>
          <t>On one elbow, lift your hips into a straight line.</t>
        </is>
      </c>
      <c r="J41" s="5" t="inlineStr">
        <is>
          <t>Main work</t>
        </is>
      </c>
      <c r="K41" s="6" t="n"/>
      <c r="L41" s="6" t="n"/>
    </row>
    <row r="42">
      <c r="A42" s="5" t="inlineStr">
        <is>
          <t>band_pallof_press</t>
        </is>
      </c>
      <c r="B42" s="5" t="inlineStr">
        <is>
          <t>Band Pallof press</t>
        </is>
      </c>
      <c r="C42" s="5" t="inlineStr">
        <is>
          <t>Obliques (External and internal obliques): primary, 1.0
Lower abs (Rectus abdominis · lower): secondary, 0.4</t>
        </is>
      </c>
      <c r="D42" s="5" t="inlineStr">
        <is>
          <t>Bands</t>
        </is>
      </c>
      <c r="E42" s="5" t="n">
        <v>1</v>
      </c>
      <c r="F42" s="5" t="inlineStr">
        <is>
          <t>9+ (kids)</t>
        </is>
      </c>
      <c r="G42" s="5" t="inlineStr">
        <is>
          <t>Standing, With support, Seated</t>
        </is>
      </c>
      <c r="H42" s="5" t="inlineStr">
        <is>
          <t>None</t>
        </is>
      </c>
      <c r="I42" s="5" t="inlineStr">
        <is>
          <t>Band at your side; press it straight out and resist the twist.</t>
        </is>
      </c>
      <c r="J42" s="5" t="inlineStr">
        <is>
          <t>Main work</t>
        </is>
      </c>
      <c r="K42" s="6" t="n"/>
      <c r="L42" s="6" t="n"/>
    </row>
    <row r="43">
      <c r="A43" s="5" t="inlineStr">
        <is>
          <t>bodyweight_squat</t>
        </is>
      </c>
      <c r="B43" s="5" t="inlineStr">
        <is>
          <t>Bodyweight squat</t>
        </is>
      </c>
      <c r="C43" s="5" t="inlineStr">
        <is>
          <t>Quads (Quadriceps): primary, 1.0
Glutes (Gluteus maximus and medius): secondary, 0.7
Inner thighs (Hip adductors): secondary, 0.3</t>
        </is>
      </c>
      <c r="D43" s="5" t="inlineStr">
        <is>
          <t>Bodyweight</t>
        </is>
      </c>
      <c r="E43" s="5" t="n">
        <v>1</v>
      </c>
      <c r="F43" s="5" t="inlineStr">
        <is>
          <t>9+ (kids)</t>
        </is>
      </c>
      <c r="G43" s="5" t="inlineStr">
        <is>
          <t>Standing, With support</t>
        </is>
      </c>
      <c r="H43" s="5" t="inlineStr">
        <is>
          <t>Knee</t>
        </is>
      </c>
      <c r="I43" s="5" t="inlineStr">
        <is>
          <t>Sit back and down, knees over toes, then stand.</t>
        </is>
      </c>
      <c r="J43" s="5" t="inlineStr">
        <is>
          <t>Main work</t>
        </is>
      </c>
      <c r="K43" s="6" t="n"/>
      <c r="L43" s="6" t="n"/>
    </row>
    <row r="44">
      <c r="A44" s="5" t="inlineStr">
        <is>
          <t>goblet_squat</t>
        </is>
      </c>
      <c r="B44" s="5" t="inlineStr">
        <is>
          <t>Goblet squat</t>
        </is>
      </c>
      <c r="C44" s="5" t="inlineStr">
        <is>
          <t>Quads (Quadriceps): primary, 1.0
Glutes (Gluteus maximus and medius): secondary, 0.7
Upper abs (Rectus abdominis · upper): stabilizer, 0.3</t>
        </is>
      </c>
      <c r="D44" s="5" t="inlineStr">
        <is>
          <t>Dumbbells</t>
        </is>
      </c>
      <c r="E44" s="5" t="n">
        <v>2</v>
      </c>
      <c r="F44" s="5" t="inlineStr">
        <is>
          <t>13+ (teens)</t>
        </is>
      </c>
      <c r="G44" s="5" t="inlineStr">
        <is>
          <t>Standing</t>
        </is>
      </c>
      <c r="H44" s="5" t="inlineStr">
        <is>
          <t>Knee, Lower back</t>
        </is>
      </c>
      <c r="I44" s="5" t="inlineStr">
        <is>
          <t>Hold a dumbbell at your chest; squat down and stand tall.</t>
        </is>
      </c>
      <c r="J44" s="5" t="inlineStr">
        <is>
          <t>Main work</t>
        </is>
      </c>
      <c r="K44" s="6" t="n"/>
      <c r="L44" s="6" t="n"/>
    </row>
    <row r="45">
      <c r="A45" s="5" t="inlineStr">
        <is>
          <t>sit_to_stand</t>
        </is>
      </c>
      <c r="B45" s="5" t="inlineStr">
        <is>
          <t>Sit to stand</t>
        </is>
      </c>
      <c r="C45" s="5" t="inlineStr">
        <is>
          <t>Quads (Quadriceps): primary, 0.9
Glutes (Gluteus maximus and medius): secondary, 0.7</t>
        </is>
      </c>
      <c r="D45" s="5" t="inlineStr">
        <is>
          <t>Bodyweight</t>
        </is>
      </c>
      <c r="E45" s="5" t="n">
        <v>1</v>
      </c>
      <c r="F45" s="5" t="inlineStr">
        <is>
          <t>9+ (kids)</t>
        </is>
      </c>
      <c r="G45" s="5" t="inlineStr">
        <is>
          <t>Standing, With support</t>
        </is>
      </c>
      <c r="H45" s="5" t="inlineStr">
        <is>
          <t>None</t>
        </is>
      </c>
      <c r="I45" s="5" t="inlineStr">
        <is>
          <t>From a chair, stand up without using your hands, then sit slowly.</t>
        </is>
      </c>
      <c r="J45" s="5" t="inlineStr">
        <is>
          <t>Main work</t>
        </is>
      </c>
      <c r="K45" s="6" t="n"/>
      <c r="L45" s="6" t="n"/>
    </row>
    <row r="46">
      <c r="A46" s="5" t="inlineStr">
        <is>
          <t>reverse_lunge</t>
        </is>
      </c>
      <c r="B46" s="5" t="inlineStr">
        <is>
          <t>Reverse lunge</t>
        </is>
      </c>
      <c r="C46" s="5" t="inlineStr">
        <is>
          <t>Quads (Quadriceps): primary, 0.8
Glutes (Gluteus maximus and medius): primary, 0.8
Inner thighs (Hip adductors): secondary, 0.3</t>
        </is>
      </c>
      <c r="D46" s="5" t="inlineStr">
        <is>
          <t>Bodyweight</t>
        </is>
      </c>
      <c r="E46" s="5" t="n">
        <v>2</v>
      </c>
      <c r="F46" s="5" t="inlineStr">
        <is>
          <t>9+ (kids)</t>
        </is>
      </c>
      <c r="G46" s="5" t="inlineStr">
        <is>
          <t>Standing</t>
        </is>
      </c>
      <c r="H46" s="5" t="inlineStr">
        <is>
          <t>Knee, Hip, Ankle / foot, Fell in the last year</t>
        </is>
      </c>
      <c r="I46" s="5" t="inlineStr">
        <is>
          <t>Step back and lower both knees, then return.</t>
        </is>
      </c>
      <c r="J46" s="5" t="inlineStr">
        <is>
          <t>Main work</t>
        </is>
      </c>
      <c r="K46" s="6" t="n"/>
      <c r="L46" s="6" t="n"/>
    </row>
    <row r="47">
      <c r="A47" s="5" t="inlineStr">
        <is>
          <t>leg_press</t>
        </is>
      </c>
      <c r="B47" s="5" t="inlineStr">
        <is>
          <t>Leg press</t>
        </is>
      </c>
      <c r="C47" s="5" t="inlineStr">
        <is>
          <t>Quads (Quadriceps): primary, 1.0
Glutes (Gluteus maximus and medius): secondary, 0.6</t>
        </is>
      </c>
      <c r="D47" s="5" t="inlineStr">
        <is>
          <t>Machine</t>
        </is>
      </c>
      <c r="E47" s="5" t="n">
        <v>1</v>
      </c>
      <c r="F47" s="5" t="inlineStr">
        <is>
          <t>13+ (teens)</t>
        </is>
      </c>
      <c r="G47" s="5" t="inlineStr">
        <is>
          <t>Standing, With support, Seated</t>
        </is>
      </c>
      <c r="H47" s="5" t="inlineStr">
        <is>
          <t>Knee, Lower back</t>
        </is>
      </c>
      <c r="I47" s="5" t="inlineStr">
        <is>
          <t>Feet hip-width; lower with control and press away.</t>
        </is>
      </c>
      <c r="J47" s="5" t="inlineStr">
        <is>
          <t>Main work</t>
        </is>
      </c>
      <c r="K47" s="6" t="n"/>
      <c r="L47" s="6" t="n"/>
    </row>
    <row r="48">
      <c r="A48" s="5" t="inlineStr">
        <is>
          <t>glute_bridge</t>
        </is>
      </c>
      <c r="B48" s="5" t="inlineStr">
        <is>
          <t>Glute bridge</t>
        </is>
      </c>
      <c r="C48" s="5" t="inlineStr">
        <is>
          <t>Glutes (Gluteus maximus and medius): primary, 1.0
Hamstrings (Hamstrings): secondary, 0.5
Lower back (Erector spinae): stabilizer, 0.2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</t>
        </is>
      </c>
      <c r="H48" s="5" t="inlineStr">
        <is>
          <t>Pregnant / postpartum</t>
        </is>
      </c>
      <c r="I48" s="5" t="inlineStr">
        <is>
          <t>On your back, drive through your heels and lift your hips.</t>
        </is>
      </c>
      <c r="J48" s="5" t="inlineStr">
        <is>
          <t>Main work</t>
        </is>
      </c>
      <c r="K48" s="6" t="n"/>
      <c r="L48" s="6" t="n"/>
    </row>
    <row r="49">
      <c r="A49" s="5" t="inlineStr">
        <is>
          <t>dumbbell_romanian_deadlift</t>
        </is>
      </c>
      <c r="B49" s="5" t="inlineStr">
        <is>
          <t>Dumbbell Romanian deadlift</t>
        </is>
      </c>
      <c r="C49" s="5" t="inlineStr">
        <is>
          <t>Hamstrings (Hamstrings): primary, 1.0
Glutes (Gluteus maximus and medius): primary, 0.8
Lower back (Erector spinae): secondary, 0.5</t>
        </is>
      </c>
      <c r="D49" s="5" t="inlineStr">
        <is>
          <t>Dumbbells</t>
        </is>
      </c>
      <c r="E49" s="5" t="n">
        <v>3</v>
      </c>
      <c r="F49" s="5" t="inlineStr">
        <is>
          <t>13+ (teens)</t>
        </is>
      </c>
      <c r="G49" s="5" t="inlineStr">
        <is>
          <t>Standing</t>
        </is>
      </c>
      <c r="H49" s="5" t="inlineStr">
        <is>
          <t>Lower back, Recent surgery</t>
        </is>
      </c>
      <c r="I49" s="5" t="inlineStr">
        <is>
          <t>Soft knees; hinge at the hips, dumbbells close to your legs.</t>
        </is>
      </c>
      <c r="J49" s="5" t="inlineStr">
        <is>
          <t>Main work</t>
        </is>
      </c>
      <c r="K49" s="6" t="n"/>
      <c r="L49" s="6" t="n"/>
    </row>
    <row r="50">
      <c r="A50" s="5" t="inlineStr">
        <is>
          <t>lying_hamstring_curl_machine</t>
        </is>
      </c>
      <c r="B50" s="5" t="inlineStr">
        <is>
          <t>Lying hamstring curl</t>
        </is>
      </c>
      <c r="C50" s="5" t="inlineStr">
        <is>
          <t>Hamstrings (Hamstrings): primary, 1.0
Calves (Gastrocnemius and soleus): secondary, 0.3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</t>
        </is>
      </c>
      <c r="H50" s="5" t="inlineStr">
        <is>
          <t>Knee</t>
        </is>
      </c>
      <c r="I50" s="5" t="inlineStr">
        <is>
          <t>Curl your heels toward your glutes and lower slowly.</t>
        </is>
      </c>
      <c r="J50" s="5" t="inlineStr">
        <is>
          <t>Main work</t>
        </is>
      </c>
      <c r="K50" s="6" t="n"/>
      <c r="L50" s="6" t="n"/>
    </row>
    <row r="51">
      <c r="A51" s="5" t="inlineStr">
        <is>
          <t>standing_calf_raise</t>
        </is>
      </c>
      <c r="B51" s="5" t="inlineStr">
        <is>
          <t>Standing calf raise</t>
        </is>
      </c>
      <c r="C51" s="5" t="inlineStr">
        <is>
          <t>Calves (Gastrocnemius and soleus): primary, 1.0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Standing, With support</t>
        </is>
      </c>
      <c r="H51" s="5" t="inlineStr">
        <is>
          <t>Ankle / foot</t>
        </is>
      </c>
      <c r="I51" s="5" t="inlineStr">
        <is>
          <t>Rise onto your toes, pause, lower slowly.</t>
        </is>
      </c>
      <c r="J51" s="5" t="inlineStr">
        <is>
          <t>Main work</t>
        </is>
      </c>
      <c r="K51" s="6" t="n"/>
      <c r="L51" s="6" t="n"/>
    </row>
    <row r="52">
      <c r="A52" s="5" t="inlineStr">
        <is>
          <t>seated_knee_raise</t>
        </is>
      </c>
      <c r="B52" s="5" t="inlineStr">
        <is>
          <t>Seated knee raise</t>
        </is>
      </c>
      <c r="C52" s="5" t="inlineStr">
        <is>
          <t>Hips (Hip flexors): primary, 1.0
Lower abs (Rectus abdominis · lower): secondary, 0.4</t>
        </is>
      </c>
      <c r="D52" s="5" t="inlineStr">
        <is>
          <t>Bodyweight</t>
        </is>
      </c>
      <c r="E52" s="5" t="n">
        <v>1</v>
      </c>
      <c r="F52" s="5" t="inlineStr">
        <is>
          <t>9+ (kids)</t>
        </is>
      </c>
      <c r="G52" s="5" t="inlineStr">
        <is>
          <t>Standing, With support, Seated</t>
        </is>
      </c>
      <c r="H52" s="5" t="inlineStr">
        <is>
          <t>Hip</t>
        </is>
      </c>
      <c r="I52" s="5" t="inlineStr">
        <is>
          <t>Sit tall and lift one knee toward your chest.</t>
        </is>
      </c>
      <c r="J52" s="5" t="inlineStr">
        <is>
          <t>Main work</t>
        </is>
      </c>
      <c r="K52" s="6" t="n"/>
      <c r="L52" s="6" t="n"/>
    </row>
    <row r="53">
      <c r="A53" s="5" t="inlineStr">
        <is>
          <t>side_lying_adductor_raise</t>
        </is>
      </c>
      <c r="B53" s="5" t="inlineStr">
        <is>
          <t>Side-lying inner thigh raise</t>
        </is>
      </c>
      <c r="C53" s="5" t="inlineStr">
        <is>
          <t>Inner thighs (Hip adductors): primary, 1.0</t>
        </is>
      </c>
      <c r="D53" s="5" t="inlineStr">
        <is>
          <t>Bodyweight</t>
        </is>
      </c>
      <c r="E53" s="5" t="n">
        <v>1</v>
      </c>
      <c r="F53" s="5" t="inlineStr">
        <is>
          <t>9+ (kids)</t>
        </is>
      </c>
      <c r="G53" s="5" t="inlineStr">
        <is>
          <t>Standing</t>
        </is>
      </c>
      <c r="H53" s="5" t="inlineStr">
        <is>
          <t>Hip</t>
        </is>
      </c>
      <c r="I53" s="5" t="inlineStr">
        <is>
          <t>Lying on your side, lift the bottom leg a little.</t>
        </is>
      </c>
      <c r="J53" s="5" t="inlineStr">
        <is>
          <t>Main work</t>
        </is>
      </c>
      <c r="K53" s="6" t="n"/>
      <c r="L53" s="6" t="n"/>
    </row>
    <row r="54">
      <c r="A54" s="5" t="inlineStr">
        <is>
          <t>wall_tibialis_raise</t>
        </is>
      </c>
      <c r="B54" s="5" t="inlineStr">
        <is>
          <t>Wall tibialis raise</t>
        </is>
      </c>
      <c r="C54" s="5" t="inlineStr">
        <is>
          <t>Shins (Tibialis anterior):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Back on a wall, lift your toes up and lower.</t>
        </is>
      </c>
      <c r="J54" s="5" t="inlineStr">
        <is>
          <t>Main work</t>
        </is>
      </c>
      <c r="K54" s="6" t="n"/>
      <c r="L54" s="6" t="n"/>
    </row>
    <row r="55">
      <c r="A55" s="5" t="inlineStr">
        <is>
          <t>band_terminal_knee_extension</t>
        </is>
      </c>
      <c r="B55" s="5" t="inlineStr">
        <is>
          <t>Band knee extension</t>
        </is>
      </c>
      <c r="C55" s="5" t="inlineStr">
        <is>
          <t>Knees (Muscles around the knee): primary, 0.8
Quads (Quadriceps): primary, 0.7</t>
        </is>
      </c>
      <c r="D55" s="5" t="inlineStr">
        <is>
          <t>Bands</t>
        </is>
      </c>
      <c r="E55" s="5" t="n">
        <v>1</v>
      </c>
      <c r="F55" s="5" t="inlineStr">
        <is>
          <t>9+ (kids)</t>
        </is>
      </c>
      <c r="G55" s="5" t="inlineStr">
        <is>
          <t>Standing, With support</t>
        </is>
      </c>
      <c r="H55" s="5" t="inlineStr">
        <is>
          <t>None</t>
        </is>
      </c>
      <c r="I55" s="5" t="inlineStr">
        <is>
          <t>Band behind your knee; straighten the knee against it.</t>
        </is>
      </c>
      <c r="J55" s="5" t="inlineStr">
        <is>
          <t>Main work</t>
        </is>
      </c>
      <c r="K55" s="6" t="n"/>
      <c r="L55" s="6" t="n"/>
    </row>
    <row r="56">
      <c r="A56" s="5" t="inlineStr">
        <is>
          <t>step_up</t>
        </is>
      </c>
      <c r="B56" s="5" t="inlineStr">
        <is>
          <t>Step-up</t>
        </is>
      </c>
      <c r="C56" s="5" t="inlineStr">
        <is>
          <t>Quads (Quadriceps): primary, 0.9
Glutes (Gluteus maximus and medius): primary, 0.7</t>
        </is>
      </c>
      <c r="D56" s="5" t="inlineStr">
        <is>
          <t>Bench</t>
        </is>
      </c>
      <c r="E56" s="5" t="n">
        <v>2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Knee, Ankle / foot, Fell in the last year</t>
        </is>
      </c>
      <c r="I56" s="5" t="inlineStr">
        <is>
          <t>Step onto the bench, stand tall, step down with control.</t>
        </is>
      </c>
      <c r="J56" s="5" t="inlineStr">
        <is>
          <t>Main work, Finisher: cardio</t>
        </is>
      </c>
      <c r="K56" s="6" t="n"/>
      <c r="L56" s="6" t="n"/>
    </row>
    <row r="57">
      <c r="A57" s="5" t="inlineStr">
        <is>
          <t>single_leg_balance</t>
        </is>
      </c>
      <c r="B57" s="5" t="inlineStr">
        <is>
          <t>Single-leg balance</t>
        </is>
      </c>
      <c r="C57" s="5" t="inlineStr">
        <is>
          <t>Calves (Gastrocnemius and soleus): primary, 0.6
Glutes (Gluteus maximus and medius): secondary, 0.5
Shins (Tibialis anterior): secondary, 0.4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None</t>
        </is>
      </c>
      <c r="I57" s="5" t="inlineStr">
        <is>
          <t>Stand on one leg; hold a support if you need it.</t>
        </is>
      </c>
      <c r="J57" s="5" t="inlineStr">
        <is>
          <t>Main work, Finisher: mobility</t>
        </is>
      </c>
      <c r="K57" s="6" t="n"/>
      <c r="L57" s="6" t="n"/>
    </row>
    <row r="58">
      <c r="A58" s="5" t="inlineStr">
        <is>
          <t>mountain_climber</t>
        </is>
      </c>
      <c r="B58" s="5" t="inlineStr">
        <is>
          <t>Mountain climber</t>
        </is>
      </c>
      <c r="C58" s="5" t="inlineStr">
        <is>
          <t>Lower abs (Rectus abdominis · lower): primary, 0.6
Hips (Hip flexors): secondary, 0.5
Front shoulders (Deltoid · front head): stabilizer, 0.4</t>
        </is>
      </c>
      <c r="D58" s="5" t="inlineStr">
        <is>
          <t>Bodyweight</t>
        </is>
      </c>
      <c r="E58" s="5" t="n">
        <v>3</v>
      </c>
      <c r="F58" s="5" t="inlineStr">
        <is>
          <t>9+ (kids)</t>
        </is>
      </c>
      <c r="G58" s="5" t="inlineStr">
        <is>
          <t>Standing</t>
        </is>
      </c>
      <c r="H58" s="5" t="inlineStr">
        <is>
          <t>Shoulder, Elbow / wrist, Heart condition, Pregnant / postpartum, Recent surgery, High blood pressure</t>
        </is>
      </c>
      <c r="I58" s="5" t="inlineStr">
        <is>
          <t>In a plank, drive your knees in, one after the other.</t>
        </is>
      </c>
      <c r="J58" s="5" t="inlineStr">
        <is>
          <t>Finisher: cardio</t>
        </is>
      </c>
      <c r="K58" s="6" t="n"/>
      <c r="L58" s="6" t="n"/>
    </row>
    <row r="59">
      <c r="A59" s="5" t="inlineStr">
        <is>
          <t>doorway_chest_stretch</t>
        </is>
      </c>
      <c r="B59" s="5" t="inlineStr">
        <is>
          <t>Doorway chest stretch</t>
        </is>
      </c>
      <c r="C59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59" s="5" t="inlineStr">
        <is>
          <t>Bodyweight</t>
        </is>
      </c>
      <c r="E59" s="5" t="n">
        <v>1</v>
      </c>
      <c r="F59" s="5" t="inlineStr">
        <is>
          <t>9+ (kids)</t>
        </is>
      </c>
      <c r="G59" s="5" t="inlineStr">
        <is>
          <t>Standing, With support</t>
        </is>
      </c>
      <c r="H59" s="5" t="inlineStr">
        <is>
          <t>Shoulder</t>
        </is>
      </c>
      <c r="I59" s="5" t="inlineStr">
        <is>
          <t>Forearm on a door frame; lean forward gently.</t>
        </is>
      </c>
      <c r="J59" s="5" t="inlineStr">
        <is>
          <t>Cool-down: stretch, Finisher: mobility</t>
        </is>
      </c>
      <c r="K59" s="6" t="n"/>
      <c r="L59" s="6" t="n"/>
    </row>
    <row r="60">
      <c r="A60" s="5" t="inlineStr">
        <is>
          <t>cross_body_shoulder_stretch</t>
        </is>
      </c>
      <c r="B60" s="5" t="inlineStr">
        <is>
          <t>Cross-body shoulder stretch</t>
        </is>
      </c>
      <c r="C60" s="5" t="inlineStr">
        <is>
          <t>Rear shoulders (Deltoid · rear head): primary, 0.8
Front shoulders (Deltoid · front head):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support, Seated</t>
        </is>
      </c>
      <c r="H60" s="5" t="inlineStr">
        <is>
          <t>None</t>
        </is>
      </c>
      <c r="I60" s="5" t="inlineStr">
        <is>
          <t>Pull one arm across your chest with the other.</t>
        </is>
      </c>
      <c r="J60" s="5" t="inlineStr">
        <is>
          <t>Cool-down: stretch</t>
        </is>
      </c>
      <c r="K60" s="6" t="n"/>
      <c r="L60" s="6" t="n"/>
    </row>
    <row r="61">
      <c r="A61" s="5" t="inlineStr">
        <is>
          <t>overhead_triceps_stretch</t>
        </is>
      </c>
      <c r="B61" s="5" t="inlineStr">
        <is>
          <t>Overhead triceps stretch</t>
        </is>
      </c>
      <c r="C61" s="5" t="inlineStr">
        <is>
          <t>Triceps (Triceps brachii): primary, 0.8
Lats (Latissimus dorsi): secondary, 0.3</t>
        </is>
      </c>
      <c r="D61" s="5" t="inlineStr">
        <is>
          <t>Bodyweight</t>
        </is>
      </c>
      <c r="E61" s="5" t="n">
        <v>1</v>
      </c>
      <c r="F61" s="5" t="inlineStr">
        <is>
          <t>9+ (kids)</t>
        </is>
      </c>
      <c r="G61" s="5" t="inlineStr">
        <is>
          <t>Standing, With support, Seated</t>
        </is>
      </c>
      <c r="H61" s="5" t="inlineStr">
        <is>
          <t>Shoulder</t>
        </is>
      </c>
      <c r="I61" s="5" t="inlineStr">
        <is>
          <t>Hand behind your head; gently press the elbow.</t>
        </is>
      </c>
      <c r="J61" s="5" t="inlineStr">
        <is>
          <t>Cool-down: stretch</t>
        </is>
      </c>
      <c r="K61" s="6" t="n"/>
      <c r="L61" s="6" t="n"/>
    </row>
    <row r="62">
      <c r="A62" s="5" t="inlineStr">
        <is>
          <t>standing_quad_stretch</t>
        </is>
      </c>
      <c r="B62" s="5" t="inlineStr">
        <is>
          <t>Standing quad stretch</t>
        </is>
      </c>
      <c r="C62" s="5" t="inlineStr">
        <is>
          <t>Quads (Quadriceps): primary, 0.9
Hips (Hip flexors): secondary, 0.4
Knees (Muscles around the knee): secondary, 0.3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Knee</t>
        </is>
      </c>
      <c r="I62" s="5" t="inlineStr">
        <is>
          <t>Hold a support; pull your heel toward your glute.</t>
        </is>
      </c>
      <c r="J62" s="5" t="inlineStr">
        <is>
          <t>Cool-down: stretch</t>
        </is>
      </c>
      <c r="K62" s="6" t="n"/>
      <c r="L62" s="6" t="n"/>
    </row>
    <row r="63">
      <c r="A63" s="5" t="inlineStr">
        <is>
          <t>seated_hamstring_stretch</t>
        </is>
      </c>
      <c r="B63" s="5" t="inlineStr">
        <is>
          <t>Seated hamstring stretch</t>
        </is>
      </c>
      <c r="C63" s="5" t="inlineStr">
        <is>
          <t>Hamstrings (Hamstrings): primary, 0.9
Calves (Gastrocnemius and soleus): secondary, 0.3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Leg straight; lean forward from the hips.</t>
        </is>
      </c>
      <c r="J63" s="5" t="inlineStr">
        <is>
          <t>Cool-down: stretch</t>
        </is>
      </c>
      <c r="K63" s="6" t="n"/>
      <c r="L63" s="6" t="n"/>
    </row>
    <row r="64">
      <c r="A64" s="5" t="inlineStr">
        <is>
          <t>seated_figure_four_stretch</t>
        </is>
      </c>
      <c r="B64" s="5" t="inlineStr">
        <is>
          <t>Seated figure-four stretch</t>
        </is>
      </c>
      <c r="C64" s="5" t="inlineStr">
        <is>
          <t>Glutes (Gluteus maximus and medius): primary, 0.9
Hips (Hip flexors): secondary, 0.4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Hip, Knee</t>
        </is>
      </c>
      <c r="I64" s="5" t="inlineStr">
        <is>
          <t>Ankle over the other knee; lean forward gently.</t>
        </is>
      </c>
      <c r="J64" s="5" t="inlineStr">
        <is>
          <t>Cool-down: stretch</t>
        </is>
      </c>
      <c r="K64" s="6" t="n"/>
      <c r="L64" s="6" t="n"/>
    </row>
    <row r="65">
      <c r="A65" s="5" t="inlineStr">
        <is>
          <t>wall_calf_stretch</t>
        </is>
      </c>
      <c r="B65" s="5" t="inlineStr">
        <is>
          <t>Wall calf stretch</t>
        </is>
      </c>
      <c r="C65" s="5" t="inlineStr">
        <is>
          <t>Calves (Gastrocnemius and soleus): primary, 0.9
Shins (Tibialis anterior):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Ankle / foot</t>
        </is>
      </c>
      <c r="I65" s="5" t="inlineStr">
        <is>
          <t>Hands on a wall, back leg straight, heel down.</t>
        </is>
      </c>
      <c r="J65" s="5" t="inlineStr">
        <is>
          <t>Cool-down: stretch</t>
        </is>
      </c>
      <c r="K65" s="6" t="n"/>
      <c r="L65" s="6" t="n"/>
    </row>
    <row r="66">
      <c r="A66" s="5" t="inlineStr">
        <is>
          <t>childs_pose</t>
        </is>
      </c>
      <c r="B66" s="5" t="inlineStr">
        <is>
          <t>Child's pose</t>
        </is>
      </c>
      <c r="C66" s="5" t="inlineStr">
        <is>
          <t>Lats (Latissimus dorsi): primary, 0.7
Lower back (Erector spinae): primary, 0.6
Upper back (Rhomboids and middle trapezius): secondary, 0.4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</t>
        </is>
      </c>
      <c r="H66" s="5" t="inlineStr">
        <is>
          <t>Knee</t>
        </is>
      </c>
      <c r="I66" s="5" t="inlineStr">
        <is>
          <t>Sit back on your heels and reach your arms forward.</t>
        </is>
      </c>
      <c r="J66" s="5" t="inlineStr">
        <is>
          <t>Cool-down: stretch, Finisher: mobility</t>
        </is>
      </c>
      <c r="K66" s="6" t="n"/>
      <c r="L66" s="6" t="n"/>
    </row>
    <row r="67">
      <c r="A67" s="5" t="inlineStr">
        <is>
          <t>kneeling_hip_flexor_stretch</t>
        </is>
      </c>
      <c r="B67" s="5" t="inlineStr">
        <is>
          <t>Kneeling hip flexor stretch</t>
        </is>
      </c>
      <c r="C67" s="5" t="inlineStr">
        <is>
          <t>Hips (Hip flexors): primary, 0.9
Quads (Quadriceps):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</t>
        </is>
      </c>
      <c r="H67" s="5" t="inlineStr">
        <is>
          <t>Knee</t>
        </is>
      </c>
      <c r="I67" s="5" t="inlineStr">
        <is>
          <t>One knee down; shift your hips forward gently.</t>
        </is>
      </c>
      <c r="J67" s="5" t="inlineStr">
        <is>
          <t>Cool-down: stretch, Finisher: mobility</t>
        </is>
      </c>
      <c r="K67" s="6" t="n"/>
      <c r="L67" s="6" t="n"/>
    </row>
    <row r="68">
      <c r="A68" s="5" t="inlineStr">
        <is>
          <t>upper_trap_stretch</t>
        </is>
      </c>
      <c r="B68" s="5" t="inlineStr">
        <is>
          <t>Upper trap stretch</t>
        </is>
      </c>
      <c r="C68" s="5" t="inlineStr">
        <is>
          <t>Traps (Trapezius): primary, 0.8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support, Seated</t>
        </is>
      </c>
      <c r="H68" s="5" t="inlineStr">
        <is>
          <t>Neck</t>
        </is>
      </c>
      <c r="I68" s="5" t="inlineStr">
        <is>
          <t>Tilt your ear toward your shoulder; relax.</t>
        </is>
      </c>
      <c r="J68" s="5" t="inlineStr">
        <is>
          <t>Cool-down: stretch</t>
        </is>
      </c>
      <c r="K68" s="6" t="n"/>
      <c r="L68" s="6" t="n"/>
    </row>
    <row r="69">
      <c r="A69" s="5" t="inlineStr">
        <is>
          <t>standing_side_stretch</t>
        </is>
      </c>
      <c r="B69" s="5" t="inlineStr">
        <is>
          <t>Side stretch</t>
        </is>
      </c>
      <c r="C69" s="5" t="inlineStr">
        <is>
          <t>Obliques (External and internal obliques): primary, 0.8
Lats (Latissimus dorsi): secondary, 0.5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Standing, With support, Seated</t>
        </is>
      </c>
      <c r="H69" s="5" t="inlineStr">
        <is>
          <t>None</t>
        </is>
      </c>
      <c r="I69" s="5" t="inlineStr">
        <is>
          <t>Reach one arm overhead and lean to the side.</t>
        </is>
      </c>
      <c r="J69" s="5" t="inlineStr">
        <is>
          <t>Cool-down: stretch</t>
        </is>
      </c>
      <c r="K69" s="6" t="n"/>
      <c r="L69" s="6" t="n"/>
    </row>
    <row r="70">
      <c r="A70" s="5" t="inlineStr">
        <is>
          <t>hug_upper_back_stretch</t>
        </is>
      </c>
      <c r="B70" s="5" t="inlineStr">
        <is>
          <t>Upper back hug stretch</t>
        </is>
      </c>
      <c r="C70" s="5" t="inlineStr">
        <is>
          <t>Upper back (Rhomboids and middle trapezius): primary, 0.8
Rear shoulders (Deltoid · rear head):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Standing, With support, Seated</t>
        </is>
      </c>
      <c r="H70" s="5" t="inlineStr">
        <is>
          <t>None</t>
        </is>
      </c>
      <c r="I70" s="5" t="inlineStr">
        <is>
          <t>Hug yourself and round your upper back.</t>
        </is>
      </c>
      <c r="J70" s="5" t="inlineStr">
        <is>
          <t>Cool-down: stretch</t>
        </is>
      </c>
      <c r="K70" s="6" t="n"/>
      <c r="L70" s="6" t="n"/>
    </row>
    <row r="71">
      <c r="A71" s="5" t="inlineStr">
        <is>
          <t>biceps_wall_stretch</t>
        </is>
      </c>
      <c r="B71" s="5" t="inlineStr">
        <is>
          <t>Biceps wall stretch</t>
        </is>
      </c>
      <c r="C71" s="5" t="inlineStr">
        <is>
          <t>Biceps (Biceps brachii): primary, 0.8
Forearms (Wrist flexors and extensors): secondary, 0.5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</t>
        </is>
      </c>
      <c r="H71" s="5" t="inlineStr">
        <is>
          <t>Shoulder</t>
        </is>
      </c>
      <c r="I71" s="5" t="inlineStr">
        <is>
          <t>Palm on a wall behind you; turn away slowly.</t>
        </is>
      </c>
      <c r="J71" s="5" t="inlineStr">
        <is>
          <t>Cool-down: stretch</t>
        </is>
      </c>
      <c r="K71" s="6" t="n"/>
      <c r="L71" s="6" t="n"/>
    </row>
    <row r="72">
      <c r="A72" s="5" t="inlineStr">
        <is>
          <t>box_breathing</t>
        </is>
      </c>
      <c r="B72" s="5" t="inlineStr">
        <is>
          <t>Slow breathing</t>
        </is>
      </c>
      <c r="C72" s="5" t="inlineStr">
        <is>
          <t>— (breathing, no muscle mapping)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Breathe in for 4, hold 4, out for 4, hold 4.</t>
        </is>
      </c>
      <c r="J72" s="5" t="inlineStr">
        <is>
          <t>Cool-down: breathing</t>
        </is>
      </c>
      <c r="K72" s="6" t="n"/>
      <c r="L72" s="6" t="n"/>
    </row>
  </sheetData>
  <autoFilter ref="A1:L72"/>
  <dataValidations count="1">
    <dataValidation sqref="K2:K72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2026-09-26T12:23:48Z</dcterms:created>
  <dcterms:modified xsi:type="dcterms:W3CDTF">2026-09-26T12:23:48Z</dcterms:modified>
</cp:coreProperties>
</file>